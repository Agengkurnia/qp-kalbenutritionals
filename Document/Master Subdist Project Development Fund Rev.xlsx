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Source\Comsup\QP Kalbe Nutritionals\Document\"/>
    </mc:Choice>
  </mc:AlternateContent>
  <bookViews>
    <workbookView xWindow="0" yWindow="0" windowWidth="23040" windowHeight="9072" tabRatio="855"/>
  </bookViews>
  <sheets>
    <sheet name="PIVOT" sheetId="35" r:id="rId1"/>
    <sheet name="2026-07" sheetId="30" r:id="rId2"/>
  </sheets>
  <definedNames>
    <definedName name="_xlnm._FilterDatabase" localSheetId="1" hidden="1">'2026-07'!$A$1:$K$39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G22" i="30" l="1"/>
  <c r="G37" i="30" l="1"/>
  <c r="G35" i="30"/>
  <c r="G39" i="30" l="1"/>
  <c r="G38" i="30"/>
  <c r="G36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" i="30"/>
</calcChain>
</file>

<file path=xl/sharedStrings.xml><?xml version="1.0" encoding="utf-8"?>
<sst xmlns="http://schemas.openxmlformats.org/spreadsheetml/2006/main" count="581" uniqueCount="161">
  <si>
    <t>RM I Sumbagut</t>
  </si>
  <si>
    <t>010207</t>
  </si>
  <si>
    <t>PT. Sancho Mitra Sejahtera (Medan Barat)</t>
  </si>
  <si>
    <t>Medan Barat</t>
  </si>
  <si>
    <t>010209</t>
  </si>
  <si>
    <t>Medan</t>
  </si>
  <si>
    <t>010211</t>
  </si>
  <si>
    <t>PT. Adyajati Lestari (Medan Timur)</t>
  </si>
  <si>
    <t>Medan Timur</t>
  </si>
  <si>
    <t>010212</t>
  </si>
  <si>
    <t>PT. Adyajati Lestari (Tanjung Morawa)</t>
  </si>
  <si>
    <t>Tanjung Morawa</t>
  </si>
  <si>
    <t>010213</t>
  </si>
  <si>
    <t>CV. Victor Wijaya (Binjai)</t>
  </si>
  <si>
    <t>Binjai</t>
  </si>
  <si>
    <t>330101</t>
  </si>
  <si>
    <t>PD. Bintang Lima (Batam)</t>
  </si>
  <si>
    <t>Batam</t>
  </si>
  <si>
    <t>Pematang Siantar</t>
  </si>
  <si>
    <t>350215</t>
  </si>
  <si>
    <t>PT. Adyajati Lestari (Kisaran)</t>
  </si>
  <si>
    <t>Kisaran</t>
  </si>
  <si>
    <t>RM II Jatabek</t>
  </si>
  <si>
    <t>040310</t>
  </si>
  <si>
    <t>PT. Catur Sentosa Anugerah (Jakarta Selatan)</t>
  </si>
  <si>
    <t>Jakarta Selatan</t>
  </si>
  <si>
    <t>310103</t>
  </si>
  <si>
    <t>PT. Putra Bumi Asih (Bekasi)</t>
  </si>
  <si>
    <t>Bekasi</t>
  </si>
  <si>
    <t>400304</t>
  </si>
  <si>
    <t>PT. Catur Sentosa Anugerah (Tangerang Selatan)</t>
  </si>
  <si>
    <t>Cipondoh</t>
  </si>
  <si>
    <t>400305</t>
  </si>
  <si>
    <t>PT. Catur Sentosa Anugerah (Serang)</t>
  </si>
  <si>
    <t>Serang</t>
  </si>
  <si>
    <t>400306</t>
  </si>
  <si>
    <t>PT. Catur Sentosa Anugerah (Tangerang Kabupaten)</t>
  </si>
  <si>
    <t>Cikupa</t>
  </si>
  <si>
    <t>Tangerang</t>
  </si>
  <si>
    <t>400309</t>
  </si>
  <si>
    <t>PT. Catur Sentosa Anugerah (Tangerang kota)</t>
  </si>
  <si>
    <t>Rajeg</t>
  </si>
  <si>
    <t>400310</t>
  </si>
  <si>
    <t>PT. Catur Sentosa Anugerah (Jakarta Barat)</t>
  </si>
  <si>
    <t>Jakarta Barat</t>
  </si>
  <si>
    <t>RM III Jabar</t>
  </si>
  <si>
    <t>050311</t>
  </si>
  <si>
    <t>PT. Catur Sentosa Anugerah (Bandung Selatan-B)</t>
  </si>
  <si>
    <t>Bandung Selatan</t>
  </si>
  <si>
    <t>070118</t>
  </si>
  <si>
    <t>CV. Mitra Sejati Distribusi (Jombang-B)</t>
  </si>
  <si>
    <t>Jombang</t>
  </si>
  <si>
    <t>RM IV Jatim</t>
  </si>
  <si>
    <t>360301</t>
  </si>
  <si>
    <t>CV. Mitra Sejati Distribusi (Lamongan-B)</t>
  </si>
  <si>
    <t>Lamongan</t>
  </si>
  <si>
    <t>360302</t>
  </si>
  <si>
    <t>Surabaya</t>
  </si>
  <si>
    <t>RM IX Kalimantan</t>
  </si>
  <si>
    <t>110103</t>
  </si>
  <si>
    <t>PT. Sejahtera Sukses Sejati (Banjarmasin)</t>
  </si>
  <si>
    <t>Banjarmasin</t>
  </si>
  <si>
    <t>110106</t>
  </si>
  <si>
    <t>PT. Sedulur Sukses Sejahtera (Barabai)</t>
  </si>
  <si>
    <t>Barabai</t>
  </si>
  <si>
    <t>110131</t>
  </si>
  <si>
    <t>PT. Sedulur Sukses Sejahtera (Ampah)</t>
  </si>
  <si>
    <t>Ampah</t>
  </si>
  <si>
    <t>Samarinda</t>
  </si>
  <si>
    <t>130116</t>
  </si>
  <si>
    <t>PT. Cahaya Mega Sofian (Samarinda)</t>
  </si>
  <si>
    <t>130118</t>
  </si>
  <si>
    <t>PT. Cahaya Mega Sofian (Bontang)</t>
  </si>
  <si>
    <t>Bontang</t>
  </si>
  <si>
    <t>RM V Sulintim</t>
  </si>
  <si>
    <t>Manado</t>
  </si>
  <si>
    <t>UD. Sehat Indah (Gorontalo)</t>
  </si>
  <si>
    <t>Gorontalo</t>
  </si>
  <si>
    <t>CV. Sumber Agung (Makasar)</t>
  </si>
  <si>
    <t>Makasar</t>
  </si>
  <si>
    <t>Yogya</t>
  </si>
  <si>
    <t>RM VI Jateng</t>
  </si>
  <si>
    <t>190106</t>
  </si>
  <si>
    <t>CV. Trio Hutama (Magelang)</t>
  </si>
  <si>
    <t>Magelang</t>
  </si>
  <si>
    <t>190107</t>
  </si>
  <si>
    <t>CV. Trio Hutama (Wonosobo)</t>
  </si>
  <si>
    <t>Wonosobo</t>
  </si>
  <si>
    <t>190108</t>
  </si>
  <si>
    <t>CV. Trio Hutama (Purworejo)</t>
  </si>
  <si>
    <t>Purworejo</t>
  </si>
  <si>
    <t>190109</t>
  </si>
  <si>
    <t>PT. Berhasil Sentosa Selalu (Yogya)</t>
  </si>
  <si>
    <t>190111</t>
  </si>
  <si>
    <t>PT. Global Berhasil Mandiri (Magelang)</t>
  </si>
  <si>
    <t>190112</t>
  </si>
  <si>
    <t>CV. Tiga Saudara (Wonosari)</t>
  </si>
  <si>
    <t>Wonosari</t>
  </si>
  <si>
    <t>Solo</t>
  </si>
  <si>
    <t>340307</t>
  </si>
  <si>
    <t>PT. Gemilang Berkat Utama (Solo Putih)</t>
  </si>
  <si>
    <t>450201</t>
  </si>
  <si>
    <t>CV. Tjahyono Abadi (Kudus)</t>
  </si>
  <si>
    <t>Kudus</t>
  </si>
  <si>
    <t>RM VII Sumbagsel</t>
  </si>
  <si>
    <t>Palembang</t>
  </si>
  <si>
    <t>030220</t>
  </si>
  <si>
    <t>PT. Menara Nusantara Perkasa (Palembang)</t>
  </si>
  <si>
    <t>140216</t>
  </si>
  <si>
    <t>Bandar Lampung</t>
  </si>
  <si>
    <t>140217</t>
  </si>
  <si>
    <t>Metro</t>
  </si>
  <si>
    <t>140218</t>
  </si>
  <si>
    <t>Kota Bumi</t>
  </si>
  <si>
    <t>090107</t>
  </si>
  <si>
    <t>100102</t>
  </si>
  <si>
    <t>KMMD-B</t>
  </si>
  <si>
    <t>KMMD-C</t>
  </si>
  <si>
    <t>KMMD-BVG</t>
  </si>
  <si>
    <t>Jakarta 1</t>
  </si>
  <si>
    <t>Bandung</t>
  </si>
  <si>
    <t>Surabaya 1</t>
  </si>
  <si>
    <t>Surabaya 2</t>
  </si>
  <si>
    <t>REGION</t>
  </si>
  <si>
    <t>KODE BRANCH</t>
  </si>
  <si>
    <t>BRANCH EPM</t>
  </si>
  <si>
    <t>TITIK</t>
  </si>
  <si>
    <t>KODE KMMD</t>
  </si>
  <si>
    <t>NAMA KMMD</t>
  </si>
  <si>
    <t>TIPE KMMD</t>
  </si>
  <si>
    <t>Nama Group KMMD</t>
  </si>
  <si>
    <t>Non Group</t>
  </si>
  <si>
    <t>PD. Bintang Lima Group</t>
  </si>
  <si>
    <t>PT. Adyajati Lestari Group</t>
  </si>
  <si>
    <t>PT. Adyajati Lestari (Medan Barat)</t>
  </si>
  <si>
    <t>PT. Catur Sentosa Anugerah Group</t>
  </si>
  <si>
    <t>CV. Tjahyono Abadi Group</t>
  </si>
  <si>
    <t>UD. Fajar Lampung Group</t>
  </si>
  <si>
    <t>PT. Sejahtera Sukses Sejati Group</t>
  </si>
  <si>
    <t>PT. Cahaya Mega Sofian Group</t>
  </si>
  <si>
    <t>CV. Mitra Sejati Distribusi Group</t>
  </si>
  <si>
    <t>CV. Kompas Sejahtera Group</t>
  </si>
  <si>
    <t>CV. Trio Hutama Group</t>
  </si>
  <si>
    <t>PT. Gemilang Berkat Utama Group</t>
  </si>
  <si>
    <t>Group/Non Group</t>
  </si>
  <si>
    <t>Group</t>
  </si>
  <si>
    <t>Nama Subdist / Group Subdist</t>
  </si>
  <si>
    <t>CV. Kompas Sejahtera (Surabaya-B)</t>
  </si>
  <si>
    <t>PT. Fajar Lampung (Bandar Lampung)</t>
  </si>
  <si>
    <t>PT. Fajar Lampung (Metro)</t>
  </si>
  <si>
    <t>PT. Fajar Lampung (Kota Bumi)</t>
  </si>
  <si>
    <t>Grand Total</t>
  </si>
  <si>
    <t>Total</t>
  </si>
  <si>
    <t>PARENT</t>
  </si>
  <si>
    <t>Count of Nama Group KMMD</t>
  </si>
  <si>
    <t>YA</t>
  </si>
  <si>
    <t>TIDAK</t>
  </si>
  <si>
    <t>090135</t>
  </si>
  <si>
    <t>PT. Primatama Abadi Sentosa (Palopo)</t>
  </si>
  <si>
    <t>Palopo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</si>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</sst>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 applyFont="1" applyAlignment="1"/>
    <xf numFmtId="0" fontId="0" fillId="2" borderId="0" xfId="0" applyFont="1" applyFill="1" applyAlignment="1"/>
    <xf numFmtId="0" fontId="2" fillId="0" borderId="0" xfId="0" quotePrefix="1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23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25.611171412034" createdVersion="3" refreshedVersion="3" minRefreshableVersion="3" recordCount="40">
  <cacheSource type="worksheet">
    <worksheetSource ref="A1:K1048576" sheet="2026-07"/>
  </cacheSource>
  <cacheFields count="11">
    <cacheField name="PARENT" numFmtId="0">
      <sharedItems containsBlank="1" containsMixedTypes="1" containsNumber="1" containsInteger="1" minValue="1" maxValue="17" count="20">
        <s v="YA"/>
        <s v="TIDAK"/>
        <m/>
        <n v="13" u="1"/>
        <n v="5" u="1"/>
        <n v="14" u="1"/>
        <n v="15" u="1"/>
        <n v="2" u="1"/>
        <n v="6" u="1"/>
        <n v="16" u="1"/>
        <n v="17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KODE KMMD" numFmtId="0">
      <sharedItems containsBlank="1" count="39">
        <s v="010213"/>
        <s v="010209"/>
        <s v="010207"/>
        <s v="010211"/>
        <s v="010212"/>
        <s v="330101"/>
        <s v="350215"/>
        <s v="040310"/>
        <s v="310103"/>
        <s v="400306"/>
        <s v="400304"/>
        <s v="400310"/>
        <s v="400309"/>
        <s v="400305"/>
        <s v="050311"/>
        <s v="070118"/>
        <s v="360301"/>
        <s v="360302"/>
        <s v="090107"/>
        <s v="100102"/>
        <s v="090135"/>
        <s v="190106"/>
        <s v="190111"/>
        <s v="190108"/>
        <s v="190112"/>
        <s v="190107"/>
        <s v="190109"/>
        <s v="340307"/>
        <s v="450201"/>
        <s v="030220"/>
        <s v="140216"/>
        <s v="140218"/>
        <s v="140217"/>
        <s v="110131"/>
        <s v="110103"/>
        <s v="110106"/>
        <s v="130118"/>
        <s v="130116"/>
        <m/>
      </sharedItems>
    </cacheField>
    <cacheField name="NAMA KMMD" numFmtId="0">
      <sharedItems containsBlank="1" count="39">
        <s v="CV. Victor Wijaya (Binjai)"/>
        <s v="PT. Adyajati Lestari (Medan Barat)"/>
        <s v="PT. Sancho Mitra Sejahtera (Medan Barat)"/>
        <s v="PT. Adyajati Lestari (Medan Timur)"/>
        <s v="PT. Adyajati Lestari (Tanjung Morawa)"/>
        <s v="PD. Bintang Lima (Batam)"/>
        <s v="PT. Adyajati Lestari (Kisaran)"/>
        <s v="PT. Catur Sentosa Anugerah (Jakarta Selatan)"/>
        <s v="PT. Putra Bumi Asih (Bekasi)"/>
        <s v="PT. Catur Sentosa Anugerah (Tangerang Kabupaten)"/>
        <s v="PT. Catur Sentosa Anugerah (Tangerang Selatan)"/>
        <s v="PT. Catur Sentosa Anugerah (Jakarta Barat)"/>
        <s v="PT. Catur Sentosa Anugerah (Tangerang kota)"/>
        <s v="PT. Catur Sentosa Anugerah (Serang)"/>
        <s v="PT. Catur Sentosa Anugerah (Bandung Selatan-B)"/>
        <s v="CV. Mitra Sejati Distribusi (Jombang-B)"/>
        <s v="CV. Mitra Sejati Distribusi (Lamongan-B)"/>
        <s v="CV. Kompas Sejahtera (Surabaya-B)"/>
        <s v="CV. Sumber Agung (Makasar)"/>
        <s v="UD. Sehat Indah (Gorontalo)"/>
        <s v="PT. Primatama Abadi Sentosa (Palopo)"/>
        <s v="CV. Trio Hutama (Magelang)"/>
        <s v="PT. Global Berhasil Mandiri (Magelang)"/>
        <s v="CV. Trio Hutama (Purworejo)"/>
        <s v="CV. Tiga Saudara (Wonosari)"/>
        <s v="CV. Trio Hutama (Wonosobo)"/>
        <s v="PT. Berhasil Sentosa Selalu (Yogya)"/>
        <s v="PT. Gemilang Berkat Utama (Solo Putih)"/>
        <s v="CV. Tjahyono Abadi (Kudus)"/>
        <s v="PT. Menara Nusantara Perkasa (Palembang)"/>
        <s v="PT. Fajar Lampung (Bandar Lampung)"/>
        <s v="PT. Fajar Lampung (Kota Bumi)"/>
        <s v="PT. Fajar Lampung (Metro)"/>
        <s v="PT. Sedulur Sukses Sejahtera (Ampah)"/>
        <s v="PT. Sejahtera Sukses Sejati (Banjarmasin)"/>
        <s v="PT. Sedulur Sukses Sejahtera (Barabai)"/>
        <s v="PT. Cahaya Mega Sofian (Bontang)"/>
        <s v="PT. Cahaya Mega Sofian (Samarinda)"/>
        <m/>
      </sharedItems>
    </cacheField>
    <cacheField name="TITIK" numFmtId="0">
      <sharedItems containsBlank="1" count="38">
        <s v="Binjai"/>
        <s v="Medan"/>
        <s v="Medan Barat"/>
        <s v="Medan Timur"/>
        <s v="Tanjung Morawa"/>
        <s v="Batam"/>
        <s v="Kisaran"/>
        <s v="Jakarta Selatan"/>
        <s v="Bekasi"/>
        <s v="Cikupa"/>
        <s v="Cipondoh"/>
        <s v="Jakarta Barat"/>
        <s v="Rajeg"/>
        <s v="Serang"/>
        <s v="Bandung Selatan"/>
        <s v="Jombang"/>
        <s v="Lamongan"/>
        <s v="Surabaya"/>
        <s v="Makasar"/>
        <s v="Gorontalo"/>
        <s v="Palopo"/>
        <s v="Magelang"/>
        <s v="Purworejo"/>
        <s v="Wonosari"/>
        <s v="Wonosobo"/>
        <s v="Yogya"/>
        <s v="Solo"/>
        <s v="Kudus"/>
        <s v="Palembang"/>
        <s v="Bandar Lampung"/>
        <s v="Kota Bumi"/>
        <s v="Metro"/>
        <s v="Ampah"/>
        <s v="Banjarmasin"/>
        <s v="Barabai"/>
        <s v="Bontang"/>
        <s v="Samarinda"/>
        <m/>
      </sharedItems>
    </cacheField>
    <cacheField name="Group/Non Group" numFmtId="0">
      <sharedItems containsBlank="1" count="3">
        <s v="Non Group"/>
        <s v="Group"/>
        <m/>
      </sharedItems>
    </cacheField>
    <cacheField name="Nama Group KMMD" numFmtId="0">
      <sharedItems containsBlank="1"/>
    </cacheField>
    <cacheField name="Nama Subdist / Group Subdist" numFmtId="0">
      <sharedItems containsBlank="1" count="20">
        <s v="CV. Victor Wijaya (Binjai)"/>
        <s v="PT. Adyajati Lestari Group"/>
        <s v="PT. Sancho Mitra Sejahtera (Medan Barat)"/>
        <s v="PD. Bintang Lima Group"/>
        <s v="PT. Catur Sentosa Anugerah Group"/>
        <s v="PT. Putra Bumi Asih (Bekasi)"/>
        <s v="CV. Mitra Sejati Distribusi Group"/>
        <s v="CV. Kompas Sejahtera Group"/>
        <s v="CV. Sumber Agung (Makasar)"/>
        <s v="UD. Sehat Indah (Gorontalo)"/>
        <s v="PT. Primatama Abadi Sentosa (Palopo)"/>
        <s v="CV. Trio Hutama Group"/>
        <s v="PT. Gemilang Berkat Utama Group"/>
        <s v="CV. Tjahyono Abadi Group"/>
        <s v="PT. Menara Nusantara Perkasa (Palembang)"/>
        <s v="UD. Fajar Lampung Group"/>
        <s v="PT. Sejahtera Sukses Sejati Group"/>
        <s v="PT. Cahaya Mega Sofian Group"/>
        <m/>
        <s v="PT. Sedulur Sukses Sejahtera Group" u="1"/>
      </sharedItems>
    </cacheField>
    <cacheField name="KODE BRANCH" numFmtId="0">
      <sharedItems containsString="0" containsBlank="1" containsNumber="1" containsInteger="1" minValue="3201" maxValue="3245" count="19">
        <n v="3201"/>
        <n v="3233"/>
        <n v="3235"/>
        <n v="3204"/>
        <n v="3231"/>
        <n v="3240"/>
        <n v="3205"/>
        <n v="3207"/>
        <n v="3236"/>
        <n v="3209"/>
        <n v="3210"/>
        <n v="3219"/>
        <n v="3234"/>
        <n v="3245"/>
        <n v="3203"/>
        <n v="3214"/>
        <n v="3211"/>
        <n v="3213"/>
        <m/>
      </sharedItems>
    </cacheField>
    <cacheField name="BRANCH EPM" numFmtId="0">
      <sharedItems containsBlank="1" count="19">
        <s v="Medan"/>
        <s v="Batam"/>
        <s v="Pematang Siantar"/>
        <s v="Jakarta 1"/>
        <s v="Bekasi"/>
        <s v="Tangerang"/>
        <s v="Bandung"/>
        <s v="Surabaya 1"/>
        <s v="Surabaya 2"/>
        <s v="Makasar"/>
        <s v="Manado"/>
        <s v="Yogya"/>
        <s v="Solo"/>
        <s v="Kudus"/>
        <s v="Palembang"/>
        <s v="Bandar Lampung"/>
        <s v="Banjarmasin"/>
        <s v="Samarinda"/>
        <m/>
      </sharedItems>
    </cacheField>
    <cacheField name="REGION" numFmtId="0">
      <sharedItems containsBlank="1" count="9">
        <s v="RM I Sumbagut"/>
        <s v="RM II Jatabek"/>
        <s v="RM III Jabar"/>
        <s v="RM IV Jatim"/>
        <s v="RM V Sulintim"/>
        <s v="RM VI Jateng"/>
        <s v="RM VII Sumbagsel"/>
        <s v="RM IX Kalimantan"/>
        <m/>
      </sharedItems>
    </cacheField>
    <cacheField name="TIPE KMMD" numFmtId="0">
      <sharedItems containsBlank="1" count="4">
        <s v="KMMD-C"/>
        <s v="KMMD-BVG"/>
        <s v="KMMD-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  <x v="0"/>
    <s v="Non Group"/>
    <x v="0"/>
    <x v="0"/>
    <x v="0"/>
    <x v="0"/>
    <x v="0"/>
  </r>
  <r>
    <x v="1"/>
    <x v="1"/>
    <x v="1"/>
    <x v="1"/>
    <x v="1"/>
    <s v="PT. Adyajati Lestari Group"/>
    <x v="1"/>
    <x v="0"/>
    <x v="0"/>
    <x v="0"/>
    <x v="1"/>
  </r>
  <r>
    <x v="0"/>
    <x v="2"/>
    <x v="2"/>
    <x v="2"/>
    <x v="0"/>
    <s v="Non Group"/>
    <x v="2"/>
    <x v="0"/>
    <x v="0"/>
    <x v="0"/>
    <x v="2"/>
  </r>
  <r>
    <x v="0"/>
    <x v="3"/>
    <x v="3"/>
    <x v="3"/>
    <x v="1"/>
    <s v="PT. Adyajati Lestari Group"/>
    <x v="1"/>
    <x v="0"/>
    <x v="0"/>
    <x v="0"/>
    <x v="2"/>
  </r>
  <r>
    <x v="1"/>
    <x v="4"/>
    <x v="4"/>
    <x v="4"/>
    <x v="1"/>
    <s v="PT. Adyajati Lestari Group"/>
    <x v="1"/>
    <x v="0"/>
    <x v="0"/>
    <x v="0"/>
    <x v="2"/>
  </r>
  <r>
    <x v="0"/>
    <x v="5"/>
    <x v="5"/>
    <x v="5"/>
    <x v="1"/>
    <s v="PD. Bintang Lima Group"/>
    <x v="3"/>
    <x v="1"/>
    <x v="1"/>
    <x v="0"/>
    <x v="0"/>
  </r>
  <r>
    <x v="1"/>
    <x v="6"/>
    <x v="6"/>
    <x v="6"/>
    <x v="1"/>
    <s v="PT. Adyajati Lestari Group"/>
    <x v="1"/>
    <x v="2"/>
    <x v="2"/>
    <x v="0"/>
    <x v="2"/>
  </r>
  <r>
    <x v="1"/>
    <x v="7"/>
    <x v="7"/>
    <x v="7"/>
    <x v="1"/>
    <s v="PT. Catur Sentosa Anugerah Group"/>
    <x v="4"/>
    <x v="3"/>
    <x v="3"/>
    <x v="1"/>
    <x v="2"/>
  </r>
  <r>
    <x v="0"/>
    <x v="8"/>
    <x v="8"/>
    <x v="8"/>
    <x v="0"/>
    <s v="Non Group"/>
    <x v="5"/>
    <x v="4"/>
    <x v="4"/>
    <x v="1"/>
    <x v="2"/>
  </r>
  <r>
    <x v="1"/>
    <x v="9"/>
    <x v="9"/>
    <x v="9"/>
    <x v="1"/>
    <s v="PT. Catur Sentosa Anugerah Group"/>
    <x v="4"/>
    <x v="5"/>
    <x v="5"/>
    <x v="1"/>
    <x v="2"/>
  </r>
  <r>
    <x v="1"/>
    <x v="10"/>
    <x v="10"/>
    <x v="10"/>
    <x v="1"/>
    <s v="PT. Catur Sentosa Anugerah Group"/>
    <x v="4"/>
    <x v="5"/>
    <x v="5"/>
    <x v="1"/>
    <x v="2"/>
  </r>
  <r>
    <x v="0"/>
    <x v="11"/>
    <x v="11"/>
    <x v="11"/>
    <x v="1"/>
    <s v="PT. Catur Sentosa Anugerah Group"/>
    <x v="4"/>
    <x v="5"/>
    <x v="5"/>
    <x v="1"/>
    <x v="2"/>
  </r>
  <r>
    <x v="1"/>
    <x v="12"/>
    <x v="12"/>
    <x v="12"/>
    <x v="1"/>
    <s v="PT. Catur Sentosa Anugerah Group"/>
    <x v="4"/>
    <x v="5"/>
    <x v="5"/>
    <x v="1"/>
    <x v="2"/>
  </r>
  <r>
    <x v="1"/>
    <x v="13"/>
    <x v="13"/>
    <x v="13"/>
    <x v="1"/>
    <s v="PT. Catur Sentosa Anugerah Group"/>
    <x v="4"/>
    <x v="5"/>
    <x v="5"/>
    <x v="1"/>
    <x v="2"/>
  </r>
  <r>
    <x v="1"/>
    <x v="14"/>
    <x v="14"/>
    <x v="14"/>
    <x v="1"/>
    <s v="PT. Catur Sentosa Anugerah Group"/>
    <x v="4"/>
    <x v="6"/>
    <x v="6"/>
    <x v="2"/>
    <x v="2"/>
  </r>
  <r>
    <x v="1"/>
    <x v="15"/>
    <x v="15"/>
    <x v="15"/>
    <x v="1"/>
    <s v="CV. Mitra Sejati Distribusi Group"/>
    <x v="6"/>
    <x v="7"/>
    <x v="7"/>
    <x v="3"/>
    <x v="2"/>
  </r>
  <r>
    <x v="0"/>
    <x v="16"/>
    <x v="16"/>
    <x v="16"/>
    <x v="1"/>
    <s v="CV. Mitra Sejati Distribusi Group"/>
    <x v="6"/>
    <x v="8"/>
    <x v="8"/>
    <x v="3"/>
    <x v="2"/>
  </r>
  <r>
    <x v="0"/>
    <x v="17"/>
    <x v="17"/>
    <x v="17"/>
    <x v="1"/>
    <s v="CV. Kompas Sejahtera Group"/>
    <x v="7"/>
    <x v="8"/>
    <x v="8"/>
    <x v="3"/>
    <x v="2"/>
  </r>
  <r>
    <x v="0"/>
    <x v="18"/>
    <x v="18"/>
    <x v="18"/>
    <x v="0"/>
    <s v="Non Group"/>
    <x v="8"/>
    <x v="9"/>
    <x v="9"/>
    <x v="4"/>
    <x v="2"/>
  </r>
  <r>
    <x v="0"/>
    <x v="19"/>
    <x v="19"/>
    <x v="19"/>
    <x v="0"/>
    <s v="Non Group"/>
    <x v="9"/>
    <x v="10"/>
    <x v="10"/>
    <x v="4"/>
    <x v="0"/>
  </r>
  <r>
    <x v="0"/>
    <x v="20"/>
    <x v="20"/>
    <x v="20"/>
    <x v="0"/>
    <s v="Non Group"/>
    <x v="10"/>
    <x v="9"/>
    <x v="9"/>
    <x v="4"/>
    <x v="0"/>
  </r>
  <r>
    <x v="0"/>
    <x v="21"/>
    <x v="21"/>
    <x v="21"/>
    <x v="1"/>
    <s v="CV. Trio Hutama Group"/>
    <x v="11"/>
    <x v="11"/>
    <x v="11"/>
    <x v="5"/>
    <x v="2"/>
  </r>
  <r>
    <x v="1"/>
    <x v="22"/>
    <x v="22"/>
    <x v="21"/>
    <x v="1"/>
    <s v="PT. Gemilang Berkat Utama Group"/>
    <x v="12"/>
    <x v="11"/>
    <x v="11"/>
    <x v="5"/>
    <x v="1"/>
  </r>
  <r>
    <x v="1"/>
    <x v="23"/>
    <x v="23"/>
    <x v="22"/>
    <x v="1"/>
    <s v="CV. Trio Hutama Group"/>
    <x v="11"/>
    <x v="11"/>
    <x v="11"/>
    <x v="5"/>
    <x v="2"/>
  </r>
  <r>
    <x v="1"/>
    <x v="24"/>
    <x v="24"/>
    <x v="23"/>
    <x v="1"/>
    <s v="CV. Trio Hutama Group"/>
    <x v="11"/>
    <x v="11"/>
    <x v="11"/>
    <x v="5"/>
    <x v="2"/>
  </r>
  <r>
    <x v="1"/>
    <x v="25"/>
    <x v="25"/>
    <x v="24"/>
    <x v="1"/>
    <s v="CV. Trio Hutama Group"/>
    <x v="11"/>
    <x v="11"/>
    <x v="11"/>
    <x v="5"/>
    <x v="2"/>
  </r>
  <r>
    <x v="1"/>
    <x v="26"/>
    <x v="26"/>
    <x v="25"/>
    <x v="1"/>
    <s v="PT. Gemilang Berkat Utama Group"/>
    <x v="12"/>
    <x v="11"/>
    <x v="11"/>
    <x v="5"/>
    <x v="1"/>
  </r>
  <r>
    <x v="0"/>
    <x v="27"/>
    <x v="27"/>
    <x v="26"/>
    <x v="1"/>
    <s v="PT. Gemilang Berkat Utama Group"/>
    <x v="12"/>
    <x v="12"/>
    <x v="12"/>
    <x v="5"/>
    <x v="2"/>
  </r>
  <r>
    <x v="0"/>
    <x v="28"/>
    <x v="28"/>
    <x v="27"/>
    <x v="1"/>
    <s v="CV. Tjahyono Abadi Group"/>
    <x v="13"/>
    <x v="13"/>
    <x v="13"/>
    <x v="5"/>
    <x v="2"/>
  </r>
  <r>
    <x v="0"/>
    <x v="29"/>
    <x v="29"/>
    <x v="28"/>
    <x v="0"/>
    <s v="Non Group"/>
    <x v="14"/>
    <x v="14"/>
    <x v="14"/>
    <x v="6"/>
    <x v="2"/>
  </r>
  <r>
    <x v="0"/>
    <x v="30"/>
    <x v="30"/>
    <x v="29"/>
    <x v="1"/>
    <s v="UD. Fajar Lampung Group"/>
    <x v="15"/>
    <x v="15"/>
    <x v="15"/>
    <x v="6"/>
    <x v="2"/>
  </r>
  <r>
    <x v="1"/>
    <x v="31"/>
    <x v="31"/>
    <x v="30"/>
    <x v="1"/>
    <s v="UD. Fajar Lampung Group"/>
    <x v="15"/>
    <x v="15"/>
    <x v="15"/>
    <x v="6"/>
    <x v="2"/>
  </r>
  <r>
    <x v="1"/>
    <x v="32"/>
    <x v="32"/>
    <x v="31"/>
    <x v="1"/>
    <s v="UD. Fajar Lampung Group"/>
    <x v="15"/>
    <x v="15"/>
    <x v="15"/>
    <x v="6"/>
    <x v="2"/>
  </r>
  <r>
    <x v="1"/>
    <x v="33"/>
    <x v="33"/>
    <x v="32"/>
    <x v="1"/>
    <s v="PT. Sejahtera Sukses Sejati Group"/>
    <x v="16"/>
    <x v="16"/>
    <x v="16"/>
    <x v="7"/>
    <x v="0"/>
  </r>
  <r>
    <x v="0"/>
    <x v="34"/>
    <x v="34"/>
    <x v="33"/>
    <x v="1"/>
    <s v="PT. Sejahtera Sukses Sejati Group"/>
    <x v="16"/>
    <x v="16"/>
    <x v="16"/>
    <x v="7"/>
    <x v="2"/>
  </r>
  <r>
    <x v="1"/>
    <x v="35"/>
    <x v="35"/>
    <x v="34"/>
    <x v="1"/>
    <s v="PT. Sejahtera Sukses Sejati Group"/>
    <x v="16"/>
    <x v="16"/>
    <x v="16"/>
    <x v="7"/>
    <x v="0"/>
  </r>
  <r>
    <x v="1"/>
    <x v="36"/>
    <x v="36"/>
    <x v="35"/>
    <x v="1"/>
    <s v="PT. Cahaya Mega Sofian Group"/>
    <x v="17"/>
    <x v="17"/>
    <x v="17"/>
    <x v="7"/>
    <x v="0"/>
  </r>
  <r>
    <x v="0"/>
    <x v="37"/>
    <x v="37"/>
    <x v="36"/>
    <x v="1"/>
    <s v="PT. Cahaya Mega Sofian Group"/>
    <x v="17"/>
    <x v="17"/>
    <x v="17"/>
    <x v="7"/>
    <x v="2"/>
  </r>
  <r>
    <x v="2"/>
    <x v="38"/>
    <x v="38"/>
    <x v="37"/>
    <x v="2"/>
    <m/>
    <x v="18"/>
    <x v="18"/>
    <x v="18"/>
    <x v="8"/>
    <x v="3"/>
  </r>
  <r>
    <x v="2"/>
    <x v="38"/>
    <x v="38"/>
    <x v="37"/>
    <x v="2"/>
    <m/>
    <x v="18"/>
    <x v="18"/>
    <x v="18"/>
    <x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compact="0" compactData="0" gridDropZones="1" multipleFieldFilters="0">
  <location ref="A4:J44" firstHeaderRow="2" firstDataRow="2" firstDataCol="9" rowPageCount="1" colPageCount="1"/>
  <pivotFields count="11">
    <pivotField axis="axisPage" compact="0" outline="0" multipleItemSelectionAllowed="1" showAll="0">
      <items count="21">
        <item m="1" x="12"/>
        <item m="1" x="7"/>
        <item m="1" x="13"/>
        <item m="1" x="18"/>
        <item m="1" x="4"/>
        <item m="1" x="8"/>
        <item m="1" x="11"/>
        <item m="1" x="14"/>
        <item m="1" x="15"/>
        <item m="1" x="16"/>
        <item m="1" x="17"/>
        <item m="1" x="19"/>
        <item m="1" x="3"/>
        <item m="1" x="5"/>
        <item m="1" x="6"/>
        <item m="1" x="9"/>
        <item m="1" x="10"/>
        <item x="2"/>
        <item x="0"/>
        <item x="1"/>
        <item t="default"/>
      </items>
    </pivotField>
    <pivotField axis="axisRow" compact="0" outline="0" showAll="0" defaultSubtotal="0">
      <items count="39">
        <item x="2"/>
        <item x="1"/>
        <item x="3"/>
        <item x="4"/>
        <item x="0"/>
        <item x="29"/>
        <item x="7"/>
        <item x="14"/>
        <item x="15"/>
        <item x="18"/>
        <item x="19"/>
        <item x="34"/>
        <item x="35"/>
        <item x="33"/>
        <item x="37"/>
        <item x="36"/>
        <item x="30"/>
        <item x="32"/>
        <item x="31"/>
        <item x="21"/>
        <item x="25"/>
        <item x="23"/>
        <item x="26"/>
        <item x="22"/>
        <item x="24"/>
        <item x="8"/>
        <item x="5"/>
        <item x="27"/>
        <item x="6"/>
        <item x="16"/>
        <item x="17"/>
        <item x="10"/>
        <item x="13"/>
        <item x="9"/>
        <item x="12"/>
        <item x="11"/>
        <item x="28"/>
        <item x="38"/>
        <item x="20"/>
      </items>
    </pivotField>
    <pivotField axis="axisRow" compact="0" outline="0" showAll="0" defaultSubtotal="0">
      <items count="39">
        <item x="17"/>
        <item x="15"/>
        <item x="16"/>
        <item x="18"/>
        <item x="24"/>
        <item x="28"/>
        <item x="21"/>
        <item x="23"/>
        <item x="25"/>
        <item x="0"/>
        <item x="5"/>
        <item x="6"/>
        <item x="1"/>
        <item x="3"/>
        <item x="4"/>
        <item x="26"/>
        <item x="36"/>
        <item x="37"/>
        <item x="14"/>
        <item x="11"/>
        <item x="7"/>
        <item x="13"/>
        <item x="9"/>
        <item x="12"/>
        <item x="10"/>
        <item x="30"/>
        <item x="31"/>
        <item x="32"/>
        <item x="27"/>
        <item x="22"/>
        <item x="29"/>
        <item x="8"/>
        <item x="2"/>
        <item x="33"/>
        <item x="35"/>
        <item x="34"/>
        <item x="19"/>
        <item x="38"/>
        <item x="20"/>
      </items>
    </pivotField>
    <pivotField axis="axisRow" compact="0" outline="0" showAll="0" defaultSubtotal="0">
      <items count="38">
        <item x="32"/>
        <item x="29"/>
        <item x="14"/>
        <item x="33"/>
        <item x="34"/>
        <item x="5"/>
        <item x="8"/>
        <item x="0"/>
        <item x="35"/>
        <item x="9"/>
        <item x="10"/>
        <item x="19"/>
        <item x="11"/>
        <item x="7"/>
        <item x="15"/>
        <item x="6"/>
        <item x="30"/>
        <item x="27"/>
        <item x="16"/>
        <item x="21"/>
        <item x="18"/>
        <item x="1"/>
        <item x="2"/>
        <item x="3"/>
        <item x="31"/>
        <item x="28"/>
        <item x="22"/>
        <item x="12"/>
        <item x="36"/>
        <item x="13"/>
        <item x="26"/>
        <item x="17"/>
        <item x="4"/>
        <item x="23"/>
        <item x="24"/>
        <item x="25"/>
        <item x="37"/>
        <item x="20"/>
      </items>
    </pivotField>
    <pivotField axis="axisRow" compact="0" outline="0" showAll="0" defaultSubtotal="0">
      <items count="3">
        <item x="1"/>
        <item x="0"/>
        <item h="1" x="2"/>
      </items>
    </pivotField>
    <pivotField dataField="1" compact="0" outline="0" showAll="0"/>
    <pivotField axis="axisRow" compact="0" outline="0" showAll="0" defaultSubtotal="0">
      <items count="20">
        <item x="7"/>
        <item x="6"/>
        <item x="8"/>
        <item x="13"/>
        <item x="11"/>
        <item x="0"/>
        <item x="3"/>
        <item x="1"/>
        <item x="17"/>
        <item x="4"/>
        <item x="12"/>
        <item x="14"/>
        <item x="5"/>
        <item x="2"/>
        <item m="1" x="19"/>
        <item x="16"/>
        <item x="15"/>
        <item x="9"/>
        <item x="18"/>
        <item x="10"/>
      </items>
    </pivotField>
    <pivotField axis="axisRow" compact="0" outline="0" showAll="0" defaultSubtotal="0">
      <items count="19">
        <item x="0"/>
        <item x="14"/>
        <item x="3"/>
        <item x="6"/>
        <item x="7"/>
        <item x="9"/>
        <item x="10"/>
        <item x="16"/>
        <item x="17"/>
        <item x="15"/>
        <item x="11"/>
        <item x="4"/>
        <item x="1"/>
        <item x="12"/>
        <item x="2"/>
        <item x="8"/>
        <item x="5"/>
        <item x="13"/>
        <item x="18"/>
      </items>
    </pivotField>
    <pivotField axis="axisRow" compact="0" outline="0" showAll="0" defaultSubtotal="0">
      <items count="19">
        <item x="15"/>
        <item x="6"/>
        <item x="16"/>
        <item x="1"/>
        <item x="4"/>
        <item x="3"/>
        <item x="13"/>
        <item x="9"/>
        <item x="10"/>
        <item x="0"/>
        <item x="14"/>
        <item x="2"/>
        <item x="17"/>
        <item x="12"/>
        <item x="7"/>
        <item x="8"/>
        <item x="5"/>
        <item x="11"/>
        <item x="18"/>
      </items>
    </pivotField>
    <pivotField axis="axisRow" compact="0" outline="0" showAll="0" defaultSubtotal="0">
      <items count="9">
        <item x="0"/>
        <item x="1"/>
        <item x="2"/>
        <item x="3"/>
        <item x="7"/>
        <item x="4"/>
        <item x="5"/>
        <item x="6"/>
        <item x="8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</pivotFields>
  <rowFields count="9">
    <field x="4"/>
    <field x="6"/>
    <field x="9"/>
    <field x="8"/>
    <field x="7"/>
    <field x="1"/>
    <field x="2"/>
    <field x="3"/>
    <field x="10"/>
  </rowFields>
  <rowItems count="39">
    <i>
      <x/>
      <x/>
      <x v="3"/>
      <x v="15"/>
      <x v="15"/>
      <x v="30"/>
      <x/>
      <x v="31"/>
      <x/>
    </i>
    <i r="1">
      <x v="1"/>
      <x v="3"/>
      <x v="14"/>
      <x v="4"/>
      <x v="8"/>
      <x v="1"/>
      <x v="14"/>
      <x/>
    </i>
    <i r="3">
      <x v="15"/>
      <x v="15"/>
      <x v="29"/>
      <x v="2"/>
      <x v="18"/>
      <x/>
    </i>
    <i r="1">
      <x v="3"/>
      <x v="6"/>
      <x v="6"/>
      <x v="17"/>
      <x v="36"/>
      <x v="5"/>
      <x v="17"/>
      <x/>
    </i>
    <i r="1">
      <x v="4"/>
      <x v="6"/>
      <x v="17"/>
      <x v="10"/>
      <x v="19"/>
      <x v="6"/>
      <x v="19"/>
      <x/>
    </i>
    <i r="5">
      <x v="20"/>
      <x v="8"/>
      <x v="34"/>
      <x/>
    </i>
    <i r="5">
      <x v="21"/>
      <x v="7"/>
      <x v="26"/>
      <x/>
    </i>
    <i r="5">
      <x v="24"/>
      <x v="4"/>
      <x v="33"/>
      <x/>
    </i>
    <i r="1">
      <x v="6"/>
      <x/>
      <x v="3"/>
      <x v="12"/>
      <x v="26"/>
      <x v="10"/>
      <x v="5"/>
      <x v="2"/>
    </i>
    <i r="1">
      <x v="7"/>
      <x/>
      <x v="9"/>
      <x/>
      <x v="1"/>
      <x v="12"/>
      <x v="21"/>
      <x v="1"/>
    </i>
    <i r="5">
      <x v="2"/>
      <x v="13"/>
      <x v="23"/>
      <x/>
    </i>
    <i r="5">
      <x v="3"/>
      <x v="14"/>
      <x v="32"/>
      <x/>
    </i>
    <i r="3">
      <x v="11"/>
      <x v="14"/>
      <x v="28"/>
      <x v="11"/>
      <x v="15"/>
      <x/>
    </i>
    <i r="1">
      <x v="8"/>
      <x v="4"/>
      <x v="12"/>
      <x v="8"/>
      <x v="14"/>
      <x v="17"/>
      <x v="28"/>
      <x/>
    </i>
    <i r="5">
      <x v="15"/>
      <x v="16"/>
      <x v="8"/>
      <x v="2"/>
    </i>
    <i r="1">
      <x v="9"/>
      <x v="1"/>
      <x v="5"/>
      <x v="2"/>
      <x v="6"/>
      <x v="20"/>
      <x v="13"/>
      <x/>
    </i>
    <i r="3">
      <x v="16"/>
      <x v="16"/>
      <x v="31"/>
      <x v="24"/>
      <x v="10"/>
      <x/>
    </i>
    <i r="5">
      <x v="32"/>
      <x v="21"/>
      <x v="29"/>
      <x/>
    </i>
    <i r="5">
      <x v="33"/>
      <x v="22"/>
      <x v="9"/>
      <x/>
    </i>
    <i r="5">
      <x v="34"/>
      <x v="23"/>
      <x v="27"/>
      <x/>
    </i>
    <i r="5">
      <x v="35"/>
      <x v="19"/>
      <x v="12"/>
      <x/>
    </i>
    <i r="2">
      <x v="2"/>
      <x v="1"/>
      <x v="3"/>
      <x v="7"/>
      <x v="18"/>
      <x v="2"/>
      <x/>
    </i>
    <i r="1">
      <x v="10"/>
      <x v="6"/>
      <x v="13"/>
      <x v="13"/>
      <x v="27"/>
      <x v="28"/>
      <x v="30"/>
      <x/>
    </i>
    <i r="3">
      <x v="17"/>
      <x v="10"/>
      <x v="22"/>
      <x v="15"/>
      <x v="35"/>
      <x v="1"/>
    </i>
    <i r="5">
      <x v="23"/>
      <x v="29"/>
      <x v="19"/>
      <x v="1"/>
    </i>
    <i r="1">
      <x v="15"/>
      <x v="4"/>
      <x v="2"/>
      <x v="7"/>
      <x v="11"/>
      <x v="35"/>
      <x v="3"/>
      <x/>
    </i>
    <i r="5">
      <x v="12"/>
      <x v="34"/>
      <x v="4"/>
      <x v="2"/>
    </i>
    <i r="5">
      <x v="13"/>
      <x v="33"/>
      <x/>
      <x v="2"/>
    </i>
    <i r="1">
      <x v="16"/>
      <x v="7"/>
      <x/>
      <x v="9"/>
      <x v="16"/>
      <x v="25"/>
      <x v="1"/>
      <x/>
    </i>
    <i r="5">
      <x v="17"/>
      <x v="27"/>
      <x v="24"/>
      <x/>
    </i>
    <i r="5">
      <x v="18"/>
      <x v="26"/>
      <x v="16"/>
      <x/>
    </i>
    <i>
      <x v="1"/>
      <x v="2"/>
      <x v="5"/>
      <x v="7"/>
      <x v="5"/>
      <x v="9"/>
      <x v="3"/>
      <x v="20"/>
      <x/>
    </i>
    <i r="1">
      <x v="5"/>
      <x/>
      <x v="9"/>
      <x/>
      <x v="4"/>
      <x v="9"/>
      <x v="7"/>
      <x v="2"/>
    </i>
    <i r="1">
      <x v="11"/>
      <x v="7"/>
      <x v="10"/>
      <x v="1"/>
      <x v="5"/>
      <x v="30"/>
      <x v="25"/>
      <x/>
    </i>
    <i r="1">
      <x v="12"/>
      <x v="1"/>
      <x v="4"/>
      <x v="11"/>
      <x v="25"/>
      <x v="31"/>
      <x v="6"/>
      <x/>
    </i>
    <i r="1">
      <x v="13"/>
      <x/>
      <x v="9"/>
      <x/>
      <x/>
      <x v="32"/>
      <x v="22"/>
      <x/>
    </i>
    <i r="1">
      <x v="17"/>
      <x v="5"/>
      <x v="8"/>
      <x v="6"/>
      <x v="10"/>
      <x v="36"/>
      <x v="11"/>
      <x v="2"/>
    </i>
    <i r="1">
      <x v="19"/>
      <x v="5"/>
      <x v="7"/>
      <x v="5"/>
      <x v="38"/>
      <x v="38"/>
      <x v="37"/>
      <x v="2"/>
    </i>
    <i t="grand">
      <x/>
    </i>
  </rowItems>
  <colItems count="1">
    <i/>
  </colItems>
  <pageFields count="1">
    <pageField fld="0" hier="-1"/>
  </pageFields>
  <dataFields count="1">
    <dataField name="Count of Nama Group KMMD" fld="5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4"/>
  <sheetViews>
    <sheetView tabSelected="1" workbookViewId="0">
      <selection activeCell="B2" sqref="B2"/>
    </sheetView>
  </sheetViews>
  <sheetFormatPr defaultRowHeight="13.2" x14ac:dyDescent="0.25"/>
  <cols>
    <col min="1" max="1" width="26.21875" bestFit="1" customWidth="1"/>
    <col min="2" max="2" width="41" bestFit="1" customWidth="1"/>
    <col min="3" max="3" width="17.5546875" bestFit="1" customWidth="1"/>
    <col min="4" max="4" width="17.21875" bestFit="1" customWidth="1"/>
    <col min="5" max="5" width="16.44140625" bestFit="1" customWidth="1"/>
    <col min="6" max="6" width="14.44140625" bestFit="1" customWidth="1"/>
    <col min="7" max="7" width="39.109375" bestFit="1" customWidth="1"/>
    <col min="8" max="8" width="17.21875" bestFit="1" customWidth="1"/>
    <col min="9" max="9" width="13.33203125" bestFit="1" customWidth="1"/>
    <col min="10" max="10" width="5.33203125" bestFit="1" customWidth="1"/>
    <col min="11" max="11" width="5.21875" customWidth="1"/>
    <col min="12" max="12" width="5.21875" bestFit="1" customWidth="1"/>
  </cols>
  <sheetData>
    <row r="2" spans="1:10" x14ac:dyDescent="0.25">
      <c r="A2" s="5" t="s">
        <v>153</v>
      </c>
      <c r="B2" t="s">
        <v>160</v>
      </c>
    </row>
    <row r="4" spans="1:10" x14ac:dyDescent="0.25">
      <c r="A4" s="5" t="s">
        <v>154</v>
      </c>
    </row>
    <row r="5" spans="1:10" x14ac:dyDescent="0.25">
      <c r="A5" s="5" t="s">
        <v>144</v>
      </c>
      <c r="B5" s="5" t="s">
        <v>146</v>
      </c>
      <c r="C5" s="5" t="s">
        <v>123</v>
      </c>
      <c r="D5" s="5" t="s">
        <v>125</v>
      </c>
      <c r="E5" s="5" t="s">
        <v>124</v>
      </c>
      <c r="F5" s="5" t="s">
        <v>127</v>
      </c>
      <c r="G5" s="5" t="s">
        <v>128</v>
      </c>
      <c r="H5" s="5" t="s">
        <v>126</v>
      </c>
      <c r="I5" s="5" t="s">
        <v>129</v>
      </c>
      <c r="J5" t="s">
        <v>152</v>
      </c>
    </row>
    <row r="6" spans="1:10" x14ac:dyDescent="0.25">
      <c r="A6" t="s">
        <v>145</v>
      </c>
      <c r="B6" t="s">
        <v>141</v>
      </c>
      <c r="C6" t="s">
        <v>52</v>
      </c>
      <c r="D6" t="s">
        <v>122</v>
      </c>
      <c r="E6">
        <v>3236</v>
      </c>
      <c r="F6" t="s">
        <v>56</v>
      </c>
      <c r="G6" t="s">
        <v>147</v>
      </c>
      <c r="H6" t="s">
        <v>57</v>
      </c>
      <c r="I6" t="s">
        <v>116</v>
      </c>
      <c r="J6" s="6">
        <v>1</v>
      </c>
    </row>
    <row r="7" spans="1:10" x14ac:dyDescent="0.25">
      <c r="B7" t="s">
        <v>140</v>
      </c>
      <c r="C7" t="s">
        <v>52</v>
      </c>
      <c r="D7" t="s">
        <v>121</v>
      </c>
      <c r="E7">
        <v>3207</v>
      </c>
      <c r="F7" t="s">
        <v>49</v>
      </c>
      <c r="G7" t="s">
        <v>50</v>
      </c>
      <c r="H7" t="s">
        <v>51</v>
      </c>
      <c r="I7" t="s">
        <v>116</v>
      </c>
      <c r="J7" s="6">
        <v>1</v>
      </c>
    </row>
    <row r="8" spans="1:10" x14ac:dyDescent="0.25">
      <c r="D8" t="s">
        <v>122</v>
      </c>
      <c r="E8">
        <v>3236</v>
      </c>
      <c r="F8" t="s">
        <v>53</v>
      </c>
      <c r="G8" t="s">
        <v>54</v>
      </c>
      <c r="H8" t="s">
        <v>55</v>
      </c>
      <c r="I8" t="s">
        <v>116</v>
      </c>
      <c r="J8" s="6">
        <v>1</v>
      </c>
    </row>
    <row r="9" spans="1:10" x14ac:dyDescent="0.25">
      <c r="B9" t="s">
        <v>136</v>
      </c>
      <c r="C9" t="s">
        <v>81</v>
      </c>
      <c r="D9" t="s">
        <v>103</v>
      </c>
      <c r="E9">
        <v>3245</v>
      </c>
      <c r="F9" t="s">
        <v>101</v>
      </c>
      <c r="G9" t="s">
        <v>102</v>
      </c>
      <c r="H9" t="s">
        <v>103</v>
      </c>
      <c r="I9" t="s">
        <v>116</v>
      </c>
      <c r="J9" s="6">
        <v>1</v>
      </c>
    </row>
    <row r="10" spans="1:10" x14ac:dyDescent="0.25">
      <c r="B10" t="s">
        <v>142</v>
      </c>
      <c r="C10" t="s">
        <v>81</v>
      </c>
      <c r="D10" t="s">
        <v>80</v>
      </c>
      <c r="E10">
        <v>3219</v>
      </c>
      <c r="F10" t="s">
        <v>82</v>
      </c>
      <c r="G10" t="s">
        <v>83</v>
      </c>
      <c r="H10" t="s">
        <v>84</v>
      </c>
      <c r="I10" t="s">
        <v>116</v>
      </c>
      <c r="J10" s="6">
        <v>1</v>
      </c>
    </row>
    <row r="11" spans="1:10" x14ac:dyDescent="0.25">
      <c r="F11" t="s">
        <v>85</v>
      </c>
      <c r="G11" t="s">
        <v>86</v>
      </c>
      <c r="H11" t="s">
        <v>87</v>
      </c>
      <c r="I11" t="s">
        <v>116</v>
      </c>
      <c r="J11" s="6">
        <v>1</v>
      </c>
    </row>
    <row r="12" spans="1:10" x14ac:dyDescent="0.25">
      <c r="F12" t="s">
        <v>88</v>
      </c>
      <c r="G12" t="s">
        <v>89</v>
      </c>
      <c r="H12" t="s">
        <v>90</v>
      </c>
      <c r="I12" t="s">
        <v>116</v>
      </c>
      <c r="J12" s="6">
        <v>1</v>
      </c>
    </row>
    <row r="13" spans="1:10" x14ac:dyDescent="0.25">
      <c r="F13" t="s">
        <v>95</v>
      </c>
      <c r="G13" t="s">
        <v>96</v>
      </c>
      <c r="H13" t="s">
        <v>97</v>
      </c>
      <c r="I13" t="s">
        <v>116</v>
      </c>
      <c r="J13" s="6">
        <v>1</v>
      </c>
    </row>
    <row r="14" spans="1:10" x14ac:dyDescent="0.25">
      <c r="B14" t="s">
        <v>132</v>
      </c>
      <c r="C14" t="s">
        <v>0</v>
      </c>
      <c r="D14" t="s">
        <v>17</v>
      </c>
      <c r="E14">
        <v>3233</v>
      </c>
      <c r="F14" t="s">
        <v>15</v>
      </c>
      <c r="G14" t="s">
        <v>16</v>
      </c>
      <c r="H14" t="s">
        <v>17</v>
      </c>
      <c r="I14" t="s">
        <v>117</v>
      </c>
      <c r="J14" s="6">
        <v>1</v>
      </c>
    </row>
    <row r="15" spans="1:10" x14ac:dyDescent="0.25">
      <c r="B15" t="s">
        <v>133</v>
      </c>
      <c r="C15" t="s">
        <v>0</v>
      </c>
      <c r="D15" t="s">
        <v>5</v>
      </c>
      <c r="E15">
        <v>3201</v>
      </c>
      <c r="F15" t="s">
        <v>4</v>
      </c>
      <c r="G15" t="s">
        <v>134</v>
      </c>
      <c r="H15" t="s">
        <v>5</v>
      </c>
      <c r="I15" t="s">
        <v>118</v>
      </c>
      <c r="J15" s="6">
        <v>1</v>
      </c>
    </row>
    <row r="16" spans="1:10" x14ac:dyDescent="0.25">
      <c r="F16" t="s">
        <v>6</v>
      </c>
      <c r="G16" t="s">
        <v>7</v>
      </c>
      <c r="H16" t="s">
        <v>8</v>
      </c>
      <c r="I16" t="s">
        <v>116</v>
      </c>
      <c r="J16" s="6">
        <v>1</v>
      </c>
    </row>
    <row r="17" spans="2:10" x14ac:dyDescent="0.25">
      <c r="F17" t="s">
        <v>9</v>
      </c>
      <c r="G17" t="s">
        <v>10</v>
      </c>
      <c r="H17" t="s">
        <v>11</v>
      </c>
      <c r="I17" t="s">
        <v>116</v>
      </c>
      <c r="J17" s="6">
        <v>1</v>
      </c>
    </row>
    <row r="18" spans="2:10" x14ac:dyDescent="0.25">
      <c r="D18" t="s">
        <v>18</v>
      </c>
      <c r="E18">
        <v>3235</v>
      </c>
      <c r="F18" t="s">
        <v>19</v>
      </c>
      <c r="G18" t="s">
        <v>20</v>
      </c>
      <c r="H18" t="s">
        <v>21</v>
      </c>
      <c r="I18" t="s">
        <v>116</v>
      </c>
      <c r="J18" s="6">
        <v>1</v>
      </c>
    </row>
    <row r="19" spans="2:10" x14ac:dyDescent="0.25">
      <c r="B19" t="s">
        <v>139</v>
      </c>
      <c r="C19" t="s">
        <v>58</v>
      </c>
      <c r="D19" t="s">
        <v>68</v>
      </c>
      <c r="E19">
        <v>3213</v>
      </c>
      <c r="F19" t="s">
        <v>69</v>
      </c>
      <c r="G19" t="s">
        <v>70</v>
      </c>
      <c r="H19" t="s">
        <v>68</v>
      </c>
      <c r="I19" t="s">
        <v>116</v>
      </c>
      <c r="J19" s="6">
        <v>1</v>
      </c>
    </row>
    <row r="20" spans="2:10" x14ac:dyDescent="0.25">
      <c r="F20" t="s">
        <v>71</v>
      </c>
      <c r="G20" t="s">
        <v>72</v>
      </c>
      <c r="H20" t="s">
        <v>73</v>
      </c>
      <c r="I20" t="s">
        <v>117</v>
      </c>
      <c r="J20" s="6">
        <v>1</v>
      </c>
    </row>
    <row r="21" spans="2:10" x14ac:dyDescent="0.25">
      <c r="B21" t="s">
        <v>135</v>
      </c>
      <c r="C21" t="s">
        <v>22</v>
      </c>
      <c r="D21" t="s">
        <v>119</v>
      </c>
      <c r="E21">
        <v>3204</v>
      </c>
      <c r="F21" t="s">
        <v>23</v>
      </c>
      <c r="G21" t="s">
        <v>24</v>
      </c>
      <c r="H21" t="s">
        <v>25</v>
      </c>
      <c r="I21" t="s">
        <v>116</v>
      </c>
      <c r="J21" s="6">
        <v>1</v>
      </c>
    </row>
    <row r="22" spans="2:10" x14ac:dyDescent="0.25">
      <c r="D22" t="s">
        <v>38</v>
      </c>
      <c r="E22">
        <v>3240</v>
      </c>
      <c r="F22" t="s">
        <v>29</v>
      </c>
      <c r="G22" t="s">
        <v>30</v>
      </c>
      <c r="H22" t="s">
        <v>31</v>
      </c>
      <c r="I22" t="s">
        <v>116</v>
      </c>
      <c r="J22" s="6">
        <v>1</v>
      </c>
    </row>
    <row r="23" spans="2:10" x14ac:dyDescent="0.25">
      <c r="F23" t="s">
        <v>32</v>
      </c>
      <c r="G23" t="s">
        <v>33</v>
      </c>
      <c r="H23" t="s">
        <v>34</v>
      </c>
      <c r="I23" t="s">
        <v>116</v>
      </c>
      <c r="J23" s="6">
        <v>1</v>
      </c>
    </row>
    <row r="24" spans="2:10" x14ac:dyDescent="0.25">
      <c r="F24" t="s">
        <v>35</v>
      </c>
      <c r="G24" t="s">
        <v>36</v>
      </c>
      <c r="H24" t="s">
        <v>37</v>
      </c>
      <c r="I24" t="s">
        <v>116</v>
      </c>
      <c r="J24" s="6">
        <v>1</v>
      </c>
    </row>
    <row r="25" spans="2:10" x14ac:dyDescent="0.25">
      <c r="F25" t="s">
        <v>39</v>
      </c>
      <c r="G25" t="s">
        <v>40</v>
      </c>
      <c r="H25" t="s">
        <v>41</v>
      </c>
      <c r="I25" t="s">
        <v>116</v>
      </c>
      <c r="J25" s="6">
        <v>1</v>
      </c>
    </row>
    <row r="26" spans="2:10" x14ac:dyDescent="0.25">
      <c r="F26" t="s">
        <v>42</v>
      </c>
      <c r="G26" t="s">
        <v>43</v>
      </c>
      <c r="H26" t="s">
        <v>44</v>
      </c>
      <c r="I26" t="s">
        <v>116</v>
      </c>
      <c r="J26" s="6">
        <v>1</v>
      </c>
    </row>
    <row r="27" spans="2:10" x14ac:dyDescent="0.25">
      <c r="C27" t="s">
        <v>45</v>
      </c>
      <c r="D27" t="s">
        <v>120</v>
      </c>
      <c r="E27">
        <v>3205</v>
      </c>
      <c r="F27" t="s">
        <v>46</v>
      </c>
      <c r="G27" t="s">
        <v>47</v>
      </c>
      <c r="H27" t="s">
        <v>48</v>
      </c>
      <c r="I27" t="s">
        <v>116</v>
      </c>
      <c r="J27" s="6">
        <v>1</v>
      </c>
    </row>
    <row r="28" spans="2:10" x14ac:dyDescent="0.25">
      <c r="B28" t="s">
        <v>143</v>
      </c>
      <c r="C28" t="s">
        <v>81</v>
      </c>
      <c r="D28" t="s">
        <v>98</v>
      </c>
      <c r="E28">
        <v>3234</v>
      </c>
      <c r="F28" t="s">
        <v>99</v>
      </c>
      <c r="G28" t="s">
        <v>100</v>
      </c>
      <c r="H28" t="s">
        <v>98</v>
      </c>
      <c r="I28" t="s">
        <v>116</v>
      </c>
      <c r="J28" s="6">
        <v>1</v>
      </c>
    </row>
    <row r="29" spans="2:10" x14ac:dyDescent="0.25">
      <c r="D29" t="s">
        <v>80</v>
      </c>
      <c r="E29">
        <v>3219</v>
      </c>
      <c r="F29" t="s">
        <v>91</v>
      </c>
      <c r="G29" t="s">
        <v>92</v>
      </c>
      <c r="H29" t="s">
        <v>80</v>
      </c>
      <c r="I29" t="s">
        <v>118</v>
      </c>
      <c r="J29" s="6">
        <v>1</v>
      </c>
    </row>
    <row r="30" spans="2:10" x14ac:dyDescent="0.25">
      <c r="F30" t="s">
        <v>93</v>
      </c>
      <c r="G30" t="s">
        <v>94</v>
      </c>
      <c r="H30" t="s">
        <v>84</v>
      </c>
      <c r="I30" t="s">
        <v>118</v>
      </c>
      <c r="J30" s="6">
        <v>1</v>
      </c>
    </row>
    <row r="31" spans="2:10" x14ac:dyDescent="0.25">
      <c r="B31" t="s">
        <v>138</v>
      </c>
      <c r="C31" t="s">
        <v>58</v>
      </c>
      <c r="D31" t="s">
        <v>61</v>
      </c>
      <c r="E31">
        <v>3211</v>
      </c>
      <c r="F31" t="s">
        <v>59</v>
      </c>
      <c r="G31" t="s">
        <v>60</v>
      </c>
      <c r="H31" t="s">
        <v>61</v>
      </c>
      <c r="I31" t="s">
        <v>116</v>
      </c>
      <c r="J31" s="6">
        <v>1</v>
      </c>
    </row>
    <row r="32" spans="2:10" x14ac:dyDescent="0.25">
      <c r="F32" t="s">
        <v>62</v>
      </c>
      <c r="G32" t="s">
        <v>63</v>
      </c>
      <c r="H32" t="s">
        <v>64</v>
      </c>
      <c r="I32" t="s">
        <v>117</v>
      </c>
      <c r="J32" s="6">
        <v>1</v>
      </c>
    </row>
    <row r="33" spans="1:10" x14ac:dyDescent="0.25">
      <c r="F33" t="s">
        <v>65</v>
      </c>
      <c r="G33" t="s">
        <v>66</v>
      </c>
      <c r="H33" t="s">
        <v>67</v>
      </c>
      <c r="I33" t="s">
        <v>117</v>
      </c>
      <c r="J33" s="6">
        <v>1</v>
      </c>
    </row>
    <row r="34" spans="1:10" x14ac:dyDescent="0.25">
      <c r="B34" t="s">
        <v>137</v>
      </c>
      <c r="C34" t="s">
        <v>104</v>
      </c>
      <c r="D34" t="s">
        <v>109</v>
      </c>
      <c r="E34">
        <v>3214</v>
      </c>
      <c r="F34" t="s">
        <v>108</v>
      </c>
      <c r="G34" t="s">
        <v>148</v>
      </c>
      <c r="H34" t="s">
        <v>109</v>
      </c>
      <c r="I34" t="s">
        <v>116</v>
      </c>
      <c r="J34" s="6">
        <v>1</v>
      </c>
    </row>
    <row r="35" spans="1:10" x14ac:dyDescent="0.25">
      <c r="F35" t="s">
        <v>110</v>
      </c>
      <c r="G35" t="s">
        <v>149</v>
      </c>
      <c r="H35" t="s">
        <v>111</v>
      </c>
      <c r="I35" t="s">
        <v>116</v>
      </c>
      <c r="J35" s="6">
        <v>1</v>
      </c>
    </row>
    <row r="36" spans="1:10" x14ac:dyDescent="0.25">
      <c r="F36" t="s">
        <v>112</v>
      </c>
      <c r="G36" t="s">
        <v>150</v>
      </c>
      <c r="H36" t="s">
        <v>113</v>
      </c>
      <c r="I36" t="s">
        <v>116</v>
      </c>
      <c r="J36" s="6">
        <v>1</v>
      </c>
    </row>
    <row r="37" spans="1:10" x14ac:dyDescent="0.25">
      <c r="A37" t="s">
        <v>131</v>
      </c>
      <c r="B37" t="s">
        <v>78</v>
      </c>
      <c r="C37" t="s">
        <v>74</v>
      </c>
      <c r="D37" t="s">
        <v>79</v>
      </c>
      <c r="E37">
        <v>3209</v>
      </c>
      <c r="F37" t="s">
        <v>114</v>
      </c>
      <c r="G37" t="s">
        <v>78</v>
      </c>
      <c r="H37" t="s">
        <v>79</v>
      </c>
      <c r="I37" t="s">
        <v>116</v>
      </c>
      <c r="J37" s="6">
        <v>1</v>
      </c>
    </row>
    <row r="38" spans="1:10" x14ac:dyDescent="0.25">
      <c r="B38" t="s">
        <v>13</v>
      </c>
      <c r="C38" t="s">
        <v>0</v>
      </c>
      <c r="D38" t="s">
        <v>5</v>
      </c>
      <c r="E38">
        <v>3201</v>
      </c>
      <c r="F38" t="s">
        <v>12</v>
      </c>
      <c r="G38" t="s">
        <v>13</v>
      </c>
      <c r="H38" t="s">
        <v>14</v>
      </c>
      <c r="I38" t="s">
        <v>117</v>
      </c>
      <c r="J38" s="6">
        <v>1</v>
      </c>
    </row>
    <row r="39" spans="1:10" x14ac:dyDescent="0.25">
      <c r="B39" t="s">
        <v>107</v>
      </c>
      <c r="C39" t="s">
        <v>104</v>
      </c>
      <c r="D39" t="s">
        <v>105</v>
      </c>
      <c r="E39">
        <v>3203</v>
      </c>
      <c r="F39" t="s">
        <v>106</v>
      </c>
      <c r="G39" t="s">
        <v>107</v>
      </c>
      <c r="H39" t="s">
        <v>105</v>
      </c>
      <c r="I39" t="s">
        <v>116</v>
      </c>
      <c r="J39" s="6">
        <v>1</v>
      </c>
    </row>
    <row r="40" spans="1:10" x14ac:dyDescent="0.25">
      <c r="B40" t="s">
        <v>27</v>
      </c>
      <c r="C40" t="s">
        <v>22</v>
      </c>
      <c r="D40" t="s">
        <v>28</v>
      </c>
      <c r="E40">
        <v>3231</v>
      </c>
      <c r="F40" t="s">
        <v>26</v>
      </c>
      <c r="G40" t="s">
        <v>27</v>
      </c>
      <c r="H40" t="s">
        <v>28</v>
      </c>
      <c r="I40" t="s">
        <v>116</v>
      </c>
      <c r="J40" s="6">
        <v>1</v>
      </c>
    </row>
    <row r="41" spans="1:10" x14ac:dyDescent="0.25">
      <c r="B41" t="s">
        <v>2</v>
      </c>
      <c r="C41" t="s">
        <v>0</v>
      </c>
      <c r="D41" t="s">
        <v>5</v>
      </c>
      <c r="E41">
        <v>3201</v>
      </c>
      <c r="F41" t="s">
        <v>1</v>
      </c>
      <c r="G41" t="s">
        <v>2</v>
      </c>
      <c r="H41" t="s">
        <v>3</v>
      </c>
      <c r="I41" t="s">
        <v>116</v>
      </c>
      <c r="J41" s="6">
        <v>1</v>
      </c>
    </row>
    <row r="42" spans="1:10" x14ac:dyDescent="0.25">
      <c r="B42" t="s">
        <v>76</v>
      </c>
      <c r="C42" t="s">
        <v>74</v>
      </c>
      <c r="D42" t="s">
        <v>75</v>
      </c>
      <c r="E42">
        <v>3210</v>
      </c>
      <c r="F42" t="s">
        <v>115</v>
      </c>
      <c r="G42" t="s">
        <v>76</v>
      </c>
      <c r="H42" t="s">
        <v>77</v>
      </c>
      <c r="I42" t="s">
        <v>117</v>
      </c>
      <c r="J42" s="6">
        <v>1</v>
      </c>
    </row>
    <row r="43" spans="1:10" x14ac:dyDescent="0.25">
      <c r="B43" t="s">
        <v>158</v>
      </c>
      <c r="C43" t="s">
        <v>74</v>
      </c>
      <c r="D43" t="s">
        <v>79</v>
      </c>
      <c r="E43">
        <v>3209</v>
      </c>
      <c r="F43" t="s">
        <v>157</v>
      </c>
      <c r="G43" t="s">
        <v>158</v>
      </c>
      <c r="H43" t="s">
        <v>159</v>
      </c>
      <c r="I43" t="s">
        <v>117</v>
      </c>
      <c r="J43" s="6">
        <v>1</v>
      </c>
    </row>
    <row r="44" spans="1:10" x14ac:dyDescent="0.25">
      <c r="A44" t="s">
        <v>151</v>
      </c>
      <c r="J44" s="6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9"/>
  <sheetViews>
    <sheetView showGridLines="0" topLeftCell="A14" workbookViewId="0">
      <selection activeCell="A23" sqref="A23"/>
    </sheetView>
  </sheetViews>
  <sheetFormatPr defaultRowHeight="13.2" x14ac:dyDescent="0.25"/>
  <cols>
    <col min="1" max="1" width="7.88671875" bestFit="1" customWidth="1"/>
    <col min="2" max="2" width="12" bestFit="1" customWidth="1"/>
    <col min="3" max="3" width="43.88671875" bestFit="1" customWidth="1"/>
    <col min="4" max="4" width="14.44140625" bestFit="1" customWidth="1"/>
    <col min="5" max="5" width="15.109375" bestFit="1" customWidth="1"/>
    <col min="6" max="6" width="30.77734375" bestFit="1" customWidth="1"/>
    <col min="7" max="7" width="37.44140625" bestFit="1" customWidth="1"/>
    <col min="8" max="8" width="13.77734375" bestFit="1" customWidth="1"/>
    <col min="9" max="9" width="15.21875" bestFit="1" customWidth="1"/>
    <col min="10" max="10" width="15.88671875" bestFit="1" customWidth="1"/>
    <col min="11" max="11" width="10.88671875" bestFit="1" customWidth="1"/>
  </cols>
  <sheetData>
    <row r="1" spans="1:11" x14ac:dyDescent="0.25">
      <c r="A1" s="7" t="s">
        <v>153</v>
      </c>
      <c r="B1" s="1" t="s">
        <v>127</v>
      </c>
      <c r="C1" s="1" t="s">
        <v>128</v>
      </c>
      <c r="D1" s="1" t="s">
        <v>126</v>
      </c>
      <c r="E1" s="1" t="s">
        <v>144</v>
      </c>
      <c r="F1" s="1" t="s">
        <v>130</v>
      </c>
      <c r="G1" s="1" t="s">
        <v>146</v>
      </c>
      <c r="H1" s="1" t="s">
        <v>124</v>
      </c>
      <c r="I1" s="1" t="s">
        <v>125</v>
      </c>
      <c r="J1" s="1" t="s">
        <v>123</v>
      </c>
      <c r="K1" s="4" t="s">
        <v>129</v>
      </c>
    </row>
    <row r="2" spans="1:11" x14ac:dyDescent="0.25">
      <c r="A2" s="7" t="s">
        <v>155</v>
      </c>
      <c r="B2" t="s">
        <v>12</v>
      </c>
      <c r="C2" t="s">
        <v>13</v>
      </c>
      <c r="D2" t="s">
        <v>14</v>
      </c>
      <c r="E2" t="s">
        <v>131</v>
      </c>
      <c r="F2" t="s">
        <v>131</v>
      </c>
      <c r="G2" t="str">
        <f>IF(F2="Non Group",C2,F2)</f>
        <v>CV. Victor Wijaya (Binjai)</v>
      </c>
      <c r="H2">
        <v>3201</v>
      </c>
      <c r="I2" t="s">
        <v>5</v>
      </c>
      <c r="J2" t="s">
        <v>0</v>
      </c>
      <c r="K2" t="s">
        <v>117</v>
      </c>
    </row>
    <row r="3" spans="1:11" x14ac:dyDescent="0.25">
      <c r="A3" s="7" t="s">
        <v>156</v>
      </c>
      <c r="B3" t="s">
        <v>4</v>
      </c>
      <c r="C3" t="s">
        <v>134</v>
      </c>
      <c r="D3" t="s">
        <v>5</v>
      </c>
      <c r="E3" t="s">
        <v>145</v>
      </c>
      <c r="F3" t="s">
        <v>133</v>
      </c>
      <c r="G3" t="str">
        <f t="shared" ref="G3:G16" si="0">IF(F3="Non Group",C3,F3)</f>
        <v>PT. Adyajati Lestari Group</v>
      </c>
      <c r="H3">
        <v>3201</v>
      </c>
      <c r="I3" t="s">
        <v>5</v>
      </c>
      <c r="J3" t="s">
        <v>0</v>
      </c>
      <c r="K3" t="s">
        <v>118</v>
      </c>
    </row>
    <row r="4" spans="1:11" x14ac:dyDescent="0.25">
      <c r="A4" s="7" t="s">
        <v>155</v>
      </c>
      <c r="B4" t="s">
        <v>1</v>
      </c>
      <c r="C4" t="s">
        <v>2</v>
      </c>
      <c r="D4" t="s">
        <v>3</v>
      </c>
      <c r="E4" t="s">
        <v>131</v>
      </c>
      <c r="F4" t="s">
        <v>131</v>
      </c>
      <c r="G4" t="str">
        <f t="shared" si="0"/>
        <v>PT. Sancho Mitra Sejahtera (Medan Barat)</v>
      </c>
      <c r="H4">
        <v>3201</v>
      </c>
      <c r="I4" t="s">
        <v>5</v>
      </c>
      <c r="J4" t="s">
        <v>0</v>
      </c>
      <c r="K4" t="s">
        <v>116</v>
      </c>
    </row>
    <row r="5" spans="1:11" x14ac:dyDescent="0.25">
      <c r="A5" s="7" t="s">
        <v>155</v>
      </c>
      <c r="B5" t="s">
        <v>6</v>
      </c>
      <c r="C5" t="s">
        <v>7</v>
      </c>
      <c r="D5" t="s">
        <v>8</v>
      </c>
      <c r="E5" t="s">
        <v>145</v>
      </c>
      <c r="F5" t="s">
        <v>133</v>
      </c>
      <c r="G5" t="str">
        <f t="shared" si="0"/>
        <v>PT. Adyajati Lestari Group</v>
      </c>
      <c r="H5">
        <v>3201</v>
      </c>
      <c r="I5" t="s">
        <v>5</v>
      </c>
      <c r="J5" t="s">
        <v>0</v>
      </c>
      <c r="K5" t="s">
        <v>116</v>
      </c>
    </row>
    <row r="6" spans="1:11" x14ac:dyDescent="0.25">
      <c r="A6" s="7" t="s">
        <v>156</v>
      </c>
      <c r="B6" t="s">
        <v>9</v>
      </c>
      <c r="C6" t="s">
        <v>10</v>
      </c>
      <c r="D6" t="s">
        <v>11</v>
      </c>
      <c r="E6" t="s">
        <v>145</v>
      </c>
      <c r="F6" t="s">
        <v>133</v>
      </c>
      <c r="G6" t="str">
        <f t="shared" si="0"/>
        <v>PT. Adyajati Lestari Group</v>
      </c>
      <c r="H6">
        <v>3201</v>
      </c>
      <c r="I6" t="s">
        <v>5</v>
      </c>
      <c r="J6" t="s">
        <v>0</v>
      </c>
      <c r="K6" t="s">
        <v>116</v>
      </c>
    </row>
    <row r="7" spans="1:11" x14ac:dyDescent="0.25">
      <c r="A7" s="7" t="s">
        <v>155</v>
      </c>
      <c r="B7" t="s">
        <v>15</v>
      </c>
      <c r="C7" t="s">
        <v>16</v>
      </c>
      <c r="D7" t="s">
        <v>17</v>
      </c>
      <c r="E7" t="s">
        <v>145</v>
      </c>
      <c r="F7" t="s">
        <v>132</v>
      </c>
      <c r="G7" t="str">
        <f t="shared" si="0"/>
        <v>PD. Bintang Lima Group</v>
      </c>
      <c r="H7">
        <v>3233</v>
      </c>
      <c r="I7" t="s">
        <v>17</v>
      </c>
      <c r="J7" t="s">
        <v>0</v>
      </c>
      <c r="K7" t="s">
        <v>117</v>
      </c>
    </row>
    <row r="8" spans="1:11" x14ac:dyDescent="0.25">
      <c r="A8" s="7" t="s">
        <v>156</v>
      </c>
      <c r="B8" t="s">
        <v>19</v>
      </c>
      <c r="C8" t="s">
        <v>20</v>
      </c>
      <c r="D8" t="s">
        <v>21</v>
      </c>
      <c r="E8" t="s">
        <v>145</v>
      </c>
      <c r="F8" t="s">
        <v>133</v>
      </c>
      <c r="G8" t="str">
        <f t="shared" si="0"/>
        <v>PT. Adyajati Lestari Group</v>
      </c>
      <c r="H8">
        <v>3235</v>
      </c>
      <c r="I8" t="s">
        <v>18</v>
      </c>
      <c r="J8" t="s">
        <v>0</v>
      </c>
      <c r="K8" t="s">
        <v>116</v>
      </c>
    </row>
    <row r="9" spans="1:11" x14ac:dyDescent="0.25">
      <c r="A9" s="7" t="s">
        <v>156</v>
      </c>
      <c r="B9" t="s">
        <v>23</v>
      </c>
      <c r="C9" t="s">
        <v>24</v>
      </c>
      <c r="D9" t="s">
        <v>25</v>
      </c>
      <c r="E9" t="s">
        <v>145</v>
      </c>
      <c r="F9" t="s">
        <v>135</v>
      </c>
      <c r="G9" t="str">
        <f t="shared" si="0"/>
        <v>PT. Catur Sentosa Anugerah Group</v>
      </c>
      <c r="H9">
        <v>3204</v>
      </c>
      <c r="I9" t="s">
        <v>119</v>
      </c>
      <c r="J9" t="s">
        <v>22</v>
      </c>
      <c r="K9" t="s">
        <v>116</v>
      </c>
    </row>
    <row r="10" spans="1:11" x14ac:dyDescent="0.25">
      <c r="A10" s="7" t="s">
        <v>155</v>
      </c>
      <c r="B10" t="s">
        <v>26</v>
      </c>
      <c r="C10" t="s">
        <v>27</v>
      </c>
      <c r="D10" t="s">
        <v>28</v>
      </c>
      <c r="E10" t="s">
        <v>131</v>
      </c>
      <c r="F10" t="s">
        <v>131</v>
      </c>
      <c r="G10" t="str">
        <f t="shared" si="0"/>
        <v>PT. Putra Bumi Asih (Bekasi)</v>
      </c>
      <c r="H10">
        <v>3231</v>
      </c>
      <c r="I10" t="s">
        <v>28</v>
      </c>
      <c r="J10" t="s">
        <v>22</v>
      </c>
      <c r="K10" t="s">
        <v>116</v>
      </c>
    </row>
    <row r="11" spans="1:11" x14ac:dyDescent="0.25">
      <c r="A11" s="7" t="s">
        <v>156</v>
      </c>
      <c r="B11" t="s">
        <v>35</v>
      </c>
      <c r="C11" t="s">
        <v>36</v>
      </c>
      <c r="D11" t="s">
        <v>37</v>
      </c>
      <c r="E11" t="s">
        <v>145</v>
      </c>
      <c r="F11" t="s">
        <v>135</v>
      </c>
      <c r="G11" t="str">
        <f t="shared" si="0"/>
        <v>PT. Catur Sentosa Anugerah Group</v>
      </c>
      <c r="H11">
        <v>3240</v>
      </c>
      <c r="I11" t="s">
        <v>38</v>
      </c>
      <c r="J11" t="s">
        <v>22</v>
      </c>
      <c r="K11" t="s">
        <v>116</v>
      </c>
    </row>
    <row r="12" spans="1:11" x14ac:dyDescent="0.25">
      <c r="A12" s="7" t="s">
        <v>156</v>
      </c>
      <c r="B12" t="s">
        <v>29</v>
      </c>
      <c r="C12" t="s">
        <v>30</v>
      </c>
      <c r="D12" t="s">
        <v>31</v>
      </c>
      <c r="E12" t="s">
        <v>145</v>
      </c>
      <c r="F12" t="s">
        <v>135</v>
      </c>
      <c r="G12" t="str">
        <f t="shared" si="0"/>
        <v>PT. Catur Sentosa Anugerah Group</v>
      </c>
      <c r="H12">
        <v>3240</v>
      </c>
      <c r="I12" t="s">
        <v>38</v>
      </c>
      <c r="J12" t="s">
        <v>22</v>
      </c>
      <c r="K12" t="s">
        <v>116</v>
      </c>
    </row>
    <row r="13" spans="1:11" x14ac:dyDescent="0.25">
      <c r="A13" s="7" t="s">
        <v>155</v>
      </c>
      <c r="B13" t="s">
        <v>42</v>
      </c>
      <c r="C13" t="s">
        <v>43</v>
      </c>
      <c r="D13" t="s">
        <v>44</v>
      </c>
      <c r="E13" t="s">
        <v>145</v>
      </c>
      <c r="F13" t="s">
        <v>135</v>
      </c>
      <c r="G13" t="str">
        <f t="shared" si="0"/>
        <v>PT. Catur Sentosa Anugerah Group</v>
      </c>
      <c r="H13">
        <v>3240</v>
      </c>
      <c r="I13" t="s">
        <v>38</v>
      </c>
      <c r="J13" t="s">
        <v>22</v>
      </c>
      <c r="K13" t="s">
        <v>116</v>
      </c>
    </row>
    <row r="14" spans="1:11" x14ac:dyDescent="0.25">
      <c r="A14" s="7" t="s">
        <v>156</v>
      </c>
      <c r="B14" t="s">
        <v>39</v>
      </c>
      <c r="C14" t="s">
        <v>40</v>
      </c>
      <c r="D14" t="s">
        <v>41</v>
      </c>
      <c r="E14" t="s">
        <v>145</v>
      </c>
      <c r="F14" t="s">
        <v>135</v>
      </c>
      <c r="G14" t="str">
        <f t="shared" si="0"/>
        <v>PT. Catur Sentosa Anugerah Group</v>
      </c>
      <c r="H14">
        <v>3240</v>
      </c>
      <c r="I14" t="s">
        <v>38</v>
      </c>
      <c r="J14" t="s">
        <v>22</v>
      </c>
      <c r="K14" t="s">
        <v>116</v>
      </c>
    </row>
    <row r="15" spans="1:11" x14ac:dyDescent="0.25">
      <c r="A15" s="7" t="s">
        <v>156</v>
      </c>
      <c r="B15" t="s">
        <v>32</v>
      </c>
      <c r="C15" t="s">
        <v>33</v>
      </c>
      <c r="D15" t="s">
        <v>34</v>
      </c>
      <c r="E15" t="s">
        <v>145</v>
      </c>
      <c r="F15" t="s">
        <v>135</v>
      </c>
      <c r="G15" t="str">
        <f t="shared" si="0"/>
        <v>PT. Catur Sentosa Anugerah Group</v>
      </c>
      <c r="H15">
        <v>3240</v>
      </c>
      <c r="I15" t="s">
        <v>38</v>
      </c>
      <c r="J15" t="s">
        <v>22</v>
      </c>
      <c r="K15" t="s">
        <v>116</v>
      </c>
    </row>
    <row r="16" spans="1:11" x14ac:dyDescent="0.25">
      <c r="A16" s="7" t="s">
        <v>156</v>
      </c>
      <c r="B16" t="s">
        <v>46</v>
      </c>
      <c r="C16" t="s">
        <v>47</v>
      </c>
      <c r="D16" t="s">
        <v>48</v>
      </c>
      <c r="E16" t="s">
        <v>145</v>
      </c>
      <c r="F16" t="s">
        <v>135</v>
      </c>
      <c r="G16" t="str">
        <f t="shared" si="0"/>
        <v>PT. Catur Sentosa Anugerah Group</v>
      </c>
      <c r="H16">
        <v>3205</v>
      </c>
      <c r="I16" t="s">
        <v>120</v>
      </c>
      <c r="J16" t="s">
        <v>45</v>
      </c>
      <c r="K16" t="s">
        <v>116</v>
      </c>
    </row>
    <row r="17" spans="1:11" x14ac:dyDescent="0.25">
      <c r="A17" s="7" t="s">
        <v>156</v>
      </c>
      <c r="B17" t="s">
        <v>49</v>
      </c>
      <c r="C17" t="s">
        <v>50</v>
      </c>
      <c r="D17" t="s">
        <v>51</v>
      </c>
      <c r="E17" t="s">
        <v>145</v>
      </c>
      <c r="F17" t="s">
        <v>140</v>
      </c>
      <c r="G17" t="str">
        <f t="shared" ref="G17:G21" si="1">IF(F17="Non Group",C17,F17)</f>
        <v>CV. Mitra Sejati Distribusi Group</v>
      </c>
      <c r="H17">
        <v>3207</v>
      </c>
      <c r="I17" t="s">
        <v>121</v>
      </c>
      <c r="J17" t="s">
        <v>52</v>
      </c>
      <c r="K17" t="s">
        <v>116</v>
      </c>
    </row>
    <row r="18" spans="1:11" x14ac:dyDescent="0.25">
      <c r="A18" s="7" t="s">
        <v>155</v>
      </c>
      <c r="B18" t="s">
        <v>53</v>
      </c>
      <c r="C18" t="s">
        <v>54</v>
      </c>
      <c r="D18" t="s">
        <v>55</v>
      </c>
      <c r="E18" t="s">
        <v>145</v>
      </c>
      <c r="F18" t="s">
        <v>140</v>
      </c>
      <c r="G18" t="str">
        <f t="shared" si="1"/>
        <v>CV. Mitra Sejati Distribusi Group</v>
      </c>
      <c r="H18">
        <v>3236</v>
      </c>
      <c r="I18" t="s">
        <v>122</v>
      </c>
      <c r="J18" t="s">
        <v>52</v>
      </c>
      <c r="K18" t="s">
        <v>116</v>
      </c>
    </row>
    <row r="19" spans="1:11" x14ac:dyDescent="0.25">
      <c r="A19" s="7" t="s">
        <v>155</v>
      </c>
      <c r="B19" t="s">
        <v>56</v>
      </c>
      <c r="C19" t="s">
        <v>147</v>
      </c>
      <c r="D19" t="s">
        <v>57</v>
      </c>
      <c r="E19" t="s">
        <v>145</v>
      </c>
      <c r="F19" t="s">
        <v>141</v>
      </c>
      <c r="G19" t="str">
        <f t="shared" si="1"/>
        <v>CV. Kompas Sejahtera Group</v>
      </c>
      <c r="H19">
        <v>3236</v>
      </c>
      <c r="I19" t="s">
        <v>122</v>
      </c>
      <c r="J19" t="s">
        <v>52</v>
      </c>
      <c r="K19" t="s">
        <v>116</v>
      </c>
    </row>
    <row r="20" spans="1:11" x14ac:dyDescent="0.25">
      <c r="A20" s="7" t="s">
        <v>155</v>
      </c>
      <c r="B20" t="s">
        <v>114</v>
      </c>
      <c r="C20" t="s">
        <v>78</v>
      </c>
      <c r="D20" t="s">
        <v>79</v>
      </c>
      <c r="E20" t="s">
        <v>131</v>
      </c>
      <c r="F20" t="s">
        <v>131</v>
      </c>
      <c r="G20" t="str">
        <f t="shared" si="1"/>
        <v>CV. Sumber Agung (Makasar)</v>
      </c>
      <c r="H20">
        <v>3209</v>
      </c>
      <c r="I20" t="s">
        <v>79</v>
      </c>
      <c r="J20" t="s">
        <v>74</v>
      </c>
      <c r="K20" t="s">
        <v>116</v>
      </c>
    </row>
    <row r="21" spans="1:11" x14ac:dyDescent="0.25">
      <c r="A21" s="7" t="s">
        <v>155</v>
      </c>
      <c r="B21" t="s">
        <v>115</v>
      </c>
      <c r="C21" t="s">
        <v>76</v>
      </c>
      <c r="D21" t="s">
        <v>77</v>
      </c>
      <c r="E21" t="s">
        <v>131</v>
      </c>
      <c r="F21" t="s">
        <v>131</v>
      </c>
      <c r="G21" t="str">
        <f t="shared" si="1"/>
        <v>UD. Sehat Indah (Gorontalo)</v>
      </c>
      <c r="H21">
        <v>3210</v>
      </c>
      <c r="I21" t="s">
        <v>75</v>
      </c>
      <c r="J21" t="s">
        <v>74</v>
      </c>
      <c r="K21" t="s">
        <v>117</v>
      </c>
    </row>
    <row r="22" spans="1:11" x14ac:dyDescent="0.25">
      <c r="A22" s="7" t="s">
        <v>155</v>
      </c>
      <c r="B22" t="s">
        <v>157</v>
      </c>
      <c r="C22" t="s">
        <v>158</v>
      </c>
      <c r="D22" t="s">
        <v>159</v>
      </c>
      <c r="E22" t="s">
        <v>131</v>
      </c>
      <c r="F22" t="s">
        <v>131</v>
      </c>
      <c r="G22" t="str">
        <f>IF(F22="Non Group",C22,F22)</f>
        <v>PT. Primatama Abadi Sentosa (Palopo)</v>
      </c>
      <c r="H22">
        <v>3209</v>
      </c>
      <c r="I22" t="s">
        <v>79</v>
      </c>
      <c r="J22" t="s">
        <v>74</v>
      </c>
      <c r="K22" t="s">
        <v>117</v>
      </c>
    </row>
    <row r="23" spans="1:11" x14ac:dyDescent="0.25">
      <c r="A23" s="7" t="s">
        <v>155</v>
      </c>
      <c r="B23" t="s">
        <v>82</v>
      </c>
      <c r="C23" t="s">
        <v>83</v>
      </c>
      <c r="D23" t="s">
        <v>84</v>
      </c>
      <c r="E23" s="3" t="s">
        <v>145</v>
      </c>
      <c r="F23" t="s">
        <v>142</v>
      </c>
      <c r="G23" t="str">
        <f t="shared" ref="G23:G34" si="2">IF(F23="Non Group",C23,F23)</f>
        <v>CV. Trio Hutama Group</v>
      </c>
      <c r="H23">
        <v>3219</v>
      </c>
      <c r="I23" t="s">
        <v>80</v>
      </c>
      <c r="J23" t="s">
        <v>81</v>
      </c>
      <c r="K23" t="s">
        <v>116</v>
      </c>
    </row>
    <row r="24" spans="1:11" x14ac:dyDescent="0.25">
      <c r="A24" s="7" t="s">
        <v>156</v>
      </c>
      <c r="B24" t="s">
        <v>93</v>
      </c>
      <c r="C24" t="s">
        <v>94</v>
      </c>
      <c r="D24" t="s">
        <v>84</v>
      </c>
      <c r="E24" s="3" t="s">
        <v>145</v>
      </c>
      <c r="F24" t="s">
        <v>143</v>
      </c>
      <c r="G24" t="str">
        <f t="shared" si="2"/>
        <v>PT. Gemilang Berkat Utama Group</v>
      </c>
      <c r="H24">
        <v>3219</v>
      </c>
      <c r="I24" t="s">
        <v>80</v>
      </c>
      <c r="J24" t="s">
        <v>81</v>
      </c>
      <c r="K24" t="s">
        <v>118</v>
      </c>
    </row>
    <row r="25" spans="1:11" x14ac:dyDescent="0.25">
      <c r="A25" s="7" t="s">
        <v>156</v>
      </c>
      <c r="B25" t="s">
        <v>88</v>
      </c>
      <c r="C25" t="s">
        <v>89</v>
      </c>
      <c r="D25" t="s">
        <v>90</v>
      </c>
      <c r="E25" t="s">
        <v>145</v>
      </c>
      <c r="F25" t="s">
        <v>142</v>
      </c>
      <c r="G25" t="str">
        <f t="shared" si="2"/>
        <v>CV. Trio Hutama Group</v>
      </c>
      <c r="H25">
        <v>3219</v>
      </c>
      <c r="I25" t="s">
        <v>80</v>
      </c>
      <c r="J25" t="s">
        <v>81</v>
      </c>
      <c r="K25" t="s">
        <v>116</v>
      </c>
    </row>
    <row r="26" spans="1:11" x14ac:dyDescent="0.25">
      <c r="A26" s="7" t="s">
        <v>156</v>
      </c>
      <c r="B26" t="s">
        <v>95</v>
      </c>
      <c r="C26" t="s">
        <v>96</v>
      </c>
      <c r="D26" t="s">
        <v>97</v>
      </c>
      <c r="E26" t="s">
        <v>145</v>
      </c>
      <c r="F26" t="s">
        <v>142</v>
      </c>
      <c r="G26" t="str">
        <f t="shared" si="2"/>
        <v>CV. Trio Hutama Group</v>
      </c>
      <c r="H26">
        <v>3219</v>
      </c>
      <c r="I26" t="s">
        <v>80</v>
      </c>
      <c r="J26" t="s">
        <v>81</v>
      </c>
      <c r="K26" t="s">
        <v>116</v>
      </c>
    </row>
    <row r="27" spans="1:11" x14ac:dyDescent="0.25">
      <c r="A27" s="7" t="s">
        <v>156</v>
      </c>
      <c r="B27" t="s">
        <v>85</v>
      </c>
      <c r="C27" t="s">
        <v>86</v>
      </c>
      <c r="D27" t="s">
        <v>87</v>
      </c>
      <c r="E27" t="s">
        <v>145</v>
      </c>
      <c r="F27" t="s">
        <v>142</v>
      </c>
      <c r="G27" t="str">
        <f t="shared" si="2"/>
        <v>CV. Trio Hutama Group</v>
      </c>
      <c r="H27">
        <v>3219</v>
      </c>
      <c r="I27" t="s">
        <v>80</v>
      </c>
      <c r="J27" t="s">
        <v>81</v>
      </c>
      <c r="K27" t="s">
        <v>116</v>
      </c>
    </row>
    <row r="28" spans="1:11" x14ac:dyDescent="0.25">
      <c r="A28" s="7" t="s">
        <v>156</v>
      </c>
      <c r="B28" s="2" t="s">
        <v>91</v>
      </c>
      <c r="C28" t="s">
        <v>92</v>
      </c>
      <c r="D28" t="s">
        <v>80</v>
      </c>
      <c r="E28" t="s">
        <v>145</v>
      </c>
      <c r="F28" t="s">
        <v>143</v>
      </c>
      <c r="G28" t="str">
        <f t="shared" si="2"/>
        <v>PT. Gemilang Berkat Utama Group</v>
      </c>
      <c r="H28">
        <v>3219</v>
      </c>
      <c r="I28" t="s">
        <v>80</v>
      </c>
      <c r="J28" t="s">
        <v>81</v>
      </c>
      <c r="K28" t="s">
        <v>118</v>
      </c>
    </row>
    <row r="29" spans="1:11" x14ac:dyDescent="0.25">
      <c r="A29" s="7" t="s">
        <v>155</v>
      </c>
      <c r="B29" t="s">
        <v>99</v>
      </c>
      <c r="C29" s="3" t="s">
        <v>100</v>
      </c>
      <c r="D29" t="s">
        <v>98</v>
      </c>
      <c r="E29" t="s">
        <v>145</v>
      </c>
      <c r="F29" t="s">
        <v>143</v>
      </c>
      <c r="G29" t="str">
        <f t="shared" si="2"/>
        <v>PT. Gemilang Berkat Utama Group</v>
      </c>
      <c r="H29">
        <v>3234</v>
      </c>
      <c r="I29" t="s">
        <v>98</v>
      </c>
      <c r="J29" t="s">
        <v>81</v>
      </c>
      <c r="K29" t="s">
        <v>116</v>
      </c>
    </row>
    <row r="30" spans="1:11" x14ac:dyDescent="0.25">
      <c r="A30" s="7" t="s">
        <v>155</v>
      </c>
      <c r="B30" t="s">
        <v>101</v>
      </c>
      <c r="C30" t="s">
        <v>102</v>
      </c>
      <c r="D30" t="s">
        <v>103</v>
      </c>
      <c r="E30" t="s">
        <v>145</v>
      </c>
      <c r="F30" t="s">
        <v>136</v>
      </c>
      <c r="G30" t="str">
        <f t="shared" si="2"/>
        <v>CV. Tjahyono Abadi Group</v>
      </c>
      <c r="H30">
        <v>3245</v>
      </c>
      <c r="I30" t="s">
        <v>103</v>
      </c>
      <c r="J30" t="s">
        <v>81</v>
      </c>
      <c r="K30" t="s">
        <v>116</v>
      </c>
    </row>
    <row r="31" spans="1:11" x14ac:dyDescent="0.25">
      <c r="A31" s="7" t="s">
        <v>155</v>
      </c>
      <c r="B31" t="s">
        <v>106</v>
      </c>
      <c r="C31" t="s">
        <v>107</v>
      </c>
      <c r="D31" t="s">
        <v>105</v>
      </c>
      <c r="E31" t="s">
        <v>131</v>
      </c>
      <c r="F31" t="s">
        <v>131</v>
      </c>
      <c r="G31" t="str">
        <f t="shared" si="2"/>
        <v>PT. Menara Nusantara Perkasa (Palembang)</v>
      </c>
      <c r="H31">
        <v>3203</v>
      </c>
      <c r="I31" t="s">
        <v>105</v>
      </c>
      <c r="J31" t="s">
        <v>104</v>
      </c>
      <c r="K31" t="s">
        <v>116</v>
      </c>
    </row>
    <row r="32" spans="1:11" x14ac:dyDescent="0.25">
      <c r="A32" s="7" t="s">
        <v>155</v>
      </c>
      <c r="B32" t="s">
        <v>108</v>
      </c>
      <c r="C32" s="3" t="s">
        <v>148</v>
      </c>
      <c r="D32" t="s">
        <v>109</v>
      </c>
      <c r="E32" t="s">
        <v>145</v>
      </c>
      <c r="F32" t="s">
        <v>137</v>
      </c>
      <c r="G32" t="str">
        <f t="shared" si="2"/>
        <v>UD. Fajar Lampung Group</v>
      </c>
      <c r="H32">
        <v>3214</v>
      </c>
      <c r="I32" t="s">
        <v>109</v>
      </c>
      <c r="J32" t="s">
        <v>104</v>
      </c>
      <c r="K32" t="s">
        <v>116</v>
      </c>
    </row>
    <row r="33" spans="1:11" x14ac:dyDescent="0.25">
      <c r="A33" s="7" t="s">
        <v>156</v>
      </c>
      <c r="B33" t="s">
        <v>112</v>
      </c>
      <c r="C33" s="3" t="s">
        <v>150</v>
      </c>
      <c r="D33" t="s">
        <v>113</v>
      </c>
      <c r="E33" t="s">
        <v>145</v>
      </c>
      <c r="F33" t="s">
        <v>137</v>
      </c>
      <c r="G33" t="str">
        <f t="shared" si="2"/>
        <v>UD. Fajar Lampung Group</v>
      </c>
      <c r="H33">
        <v>3214</v>
      </c>
      <c r="I33" t="s">
        <v>109</v>
      </c>
      <c r="J33" t="s">
        <v>104</v>
      </c>
      <c r="K33" t="s">
        <v>116</v>
      </c>
    </row>
    <row r="34" spans="1:11" x14ac:dyDescent="0.25">
      <c r="A34" s="7" t="s">
        <v>156</v>
      </c>
      <c r="B34" t="s">
        <v>110</v>
      </c>
      <c r="C34" s="3" t="s">
        <v>149</v>
      </c>
      <c r="D34" t="s">
        <v>111</v>
      </c>
      <c r="E34" t="s">
        <v>145</v>
      </c>
      <c r="F34" t="s">
        <v>137</v>
      </c>
      <c r="G34" t="str">
        <f t="shared" si="2"/>
        <v>UD. Fajar Lampung Group</v>
      </c>
      <c r="H34">
        <v>3214</v>
      </c>
      <c r="I34" t="s">
        <v>109</v>
      </c>
      <c r="J34" t="s">
        <v>104</v>
      </c>
      <c r="K34" t="s">
        <v>116</v>
      </c>
    </row>
    <row r="35" spans="1:11" x14ac:dyDescent="0.25">
      <c r="A35" s="7" t="s">
        <v>156</v>
      </c>
      <c r="B35" t="s">
        <v>65</v>
      </c>
      <c r="C35" s="3" t="s">
        <v>66</v>
      </c>
      <c r="D35" t="s">
        <v>67</v>
      </c>
      <c r="E35" t="s">
        <v>145</v>
      </c>
      <c r="F35" t="s">
        <v>138</v>
      </c>
      <c r="G35" t="str">
        <f t="shared" ref="G35:G39" si="3">IF(F35="Non Group",C35,F35)</f>
        <v>PT. Sejahtera Sukses Sejati Group</v>
      </c>
      <c r="H35">
        <v>3211</v>
      </c>
      <c r="I35" t="s">
        <v>61</v>
      </c>
      <c r="J35" t="s">
        <v>58</v>
      </c>
      <c r="K35" t="s">
        <v>117</v>
      </c>
    </row>
    <row r="36" spans="1:11" x14ac:dyDescent="0.25">
      <c r="A36" s="7" t="s">
        <v>155</v>
      </c>
      <c r="B36" t="s">
        <v>59</v>
      </c>
      <c r="C36" t="s">
        <v>60</v>
      </c>
      <c r="D36" t="s">
        <v>61</v>
      </c>
      <c r="E36" t="s">
        <v>145</v>
      </c>
      <c r="F36" t="s">
        <v>138</v>
      </c>
      <c r="G36" t="str">
        <f t="shared" si="3"/>
        <v>PT. Sejahtera Sukses Sejati Group</v>
      </c>
      <c r="H36">
        <v>3211</v>
      </c>
      <c r="I36" t="s">
        <v>61</v>
      </c>
      <c r="J36" t="s">
        <v>58</v>
      </c>
      <c r="K36" t="s">
        <v>116</v>
      </c>
    </row>
    <row r="37" spans="1:11" x14ac:dyDescent="0.25">
      <c r="A37" s="7" t="s">
        <v>156</v>
      </c>
      <c r="B37" t="s">
        <v>62</v>
      </c>
      <c r="C37" s="3" t="s">
        <v>63</v>
      </c>
      <c r="D37" t="s">
        <v>64</v>
      </c>
      <c r="E37" t="s">
        <v>145</v>
      </c>
      <c r="F37" t="s">
        <v>138</v>
      </c>
      <c r="G37" t="str">
        <f t="shared" si="3"/>
        <v>PT. Sejahtera Sukses Sejati Group</v>
      </c>
      <c r="H37">
        <v>3211</v>
      </c>
      <c r="I37" t="s">
        <v>61</v>
      </c>
      <c r="J37" t="s">
        <v>58</v>
      </c>
      <c r="K37" t="s">
        <v>117</v>
      </c>
    </row>
    <row r="38" spans="1:11" x14ac:dyDescent="0.25">
      <c r="A38" s="7" t="s">
        <v>156</v>
      </c>
      <c r="B38" t="s">
        <v>71</v>
      </c>
      <c r="C38" t="s">
        <v>72</v>
      </c>
      <c r="D38" t="s">
        <v>73</v>
      </c>
      <c r="E38" t="s">
        <v>145</v>
      </c>
      <c r="F38" t="s">
        <v>139</v>
      </c>
      <c r="G38" t="str">
        <f t="shared" si="3"/>
        <v>PT. Cahaya Mega Sofian Group</v>
      </c>
      <c r="H38">
        <v>3213</v>
      </c>
      <c r="I38" t="s">
        <v>68</v>
      </c>
      <c r="J38" t="s">
        <v>58</v>
      </c>
      <c r="K38" t="s">
        <v>117</v>
      </c>
    </row>
    <row r="39" spans="1:11" x14ac:dyDescent="0.25">
      <c r="A39" s="7" t="s">
        <v>155</v>
      </c>
      <c r="B39" t="s">
        <v>69</v>
      </c>
      <c r="C39" t="s">
        <v>70</v>
      </c>
      <c r="D39" t="s">
        <v>68</v>
      </c>
      <c r="E39" t="s">
        <v>145</v>
      </c>
      <c r="F39" t="s">
        <v>139</v>
      </c>
      <c r="G39" t="str">
        <f t="shared" si="3"/>
        <v>PT. Cahaya Mega Sofian Group</v>
      </c>
      <c r="H39">
        <v>3213</v>
      </c>
      <c r="I39" t="s">
        <v>68</v>
      </c>
      <c r="J39" t="s">
        <v>58</v>
      </c>
      <c r="K39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SHP</dc:creator>
  <cp:lastModifiedBy>Lenovo</cp:lastModifiedBy>
  <dcterms:created xsi:type="dcterms:W3CDTF">2026-01-09T08:18:12Z</dcterms:created>
  <dcterms:modified xsi:type="dcterms:W3CDTF">2026-07-22T10:49:09Z</dcterms:modified>
</cp:coreProperties>
</file>